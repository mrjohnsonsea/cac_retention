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ARK 6601 - Strategic Marketing Analytics\Case 2\"/>
    </mc:Choice>
  </mc:AlternateContent>
  <xr:revisionPtr revIDLastSave="0" documentId="13_ncr:1_{512E1EF8-FB97-4456-8119-3EDB0B788EF6}" xr6:coauthVersionLast="47" xr6:coauthVersionMax="47" xr10:uidLastSave="{00000000-0000-0000-0000-000000000000}"/>
  <bookViews>
    <workbookView xWindow="-30828" yWindow="-96" windowWidth="30936" windowHeight="16776" activeTab="5" xr2:uid="{2A89BA87-BC55-46D6-B1B7-D83EACC3E81E}"/>
  </bookViews>
  <sheets>
    <sheet name="q1" sheetId="6" r:id="rId1"/>
    <sheet name="q2_viz" sheetId="3" r:id="rId2"/>
    <sheet name="q2_clean" sheetId="2" r:id="rId3"/>
    <sheet name="q2_dau_mau" sheetId="5" r:id="rId4"/>
    <sheet name="q2" sheetId="1" r:id="rId5"/>
    <sheet name="q3" sheetId="7" r:id="rId6"/>
  </sheets>
  <definedNames>
    <definedName name="ARPU">'q1'!$C$5</definedName>
    <definedName name="CPA">'q1'!$C$12</definedName>
    <definedName name="ExternalData_1" localSheetId="2" hidden="1">q2_clean!$A$1:$C$655</definedName>
    <definedName name="ExternalData_1" localSheetId="3" hidden="1">q2_dau_mau!$A$1:$D$57</definedName>
    <definedName name="MAU">'q1'!$C$4</definedName>
    <definedName name="new_user_percent">'q1'!$C$7</definedName>
    <definedName name="new_users">'q1'!$C$11</definedName>
    <definedName name="NUA_cost">'q1'!$C$10</definedName>
    <definedName name="NUA_percent">'q1'!$C$6</definedName>
    <definedName name="NUA_percent_cost">'q1'!$C$6</definedName>
    <definedName name="revenue">'q1'!$C$3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7" l="1"/>
  <c r="C11" i="6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C18" i="7" a="1"/>
  <c r="C10" i="6"/>
  <c r="C12" i="6" s="1"/>
  <c r="D15" i="6"/>
  <c r="D12" i="6"/>
  <c r="D11" i="6"/>
  <c r="D10" i="6"/>
  <c r="AI3" i="1"/>
  <c r="AH3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D37" i="3"/>
  <c r="C37" i="3"/>
  <c r="H2" i="5"/>
  <c r="H3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D33" i="3"/>
  <c r="C33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18" i="7" l="1"/>
  <c r="D29" i="7"/>
  <c r="D28" i="7"/>
  <c r="E27" i="7"/>
  <c r="D27" i="7"/>
  <c r="G26" i="7"/>
  <c r="F26" i="7"/>
  <c r="D26" i="7"/>
  <c r="H25" i="7"/>
  <c r="F25" i="7"/>
  <c r="D25" i="7"/>
  <c r="H24" i="7"/>
  <c r="F24" i="7"/>
  <c r="D24" i="7"/>
  <c r="H23" i="7"/>
  <c r="D23" i="7"/>
  <c r="I22" i="7"/>
  <c r="H22" i="7"/>
  <c r="E22" i="7"/>
  <c r="D22" i="7"/>
  <c r="J21" i="7"/>
  <c r="I21" i="7"/>
  <c r="F21" i="7"/>
  <c r="M20" i="7"/>
  <c r="J20" i="7"/>
  <c r="F20" i="7"/>
  <c r="M19" i="7"/>
  <c r="F19" i="7"/>
  <c r="D19" i="7"/>
  <c r="E28" i="7"/>
  <c r="E26" i="7"/>
  <c r="G25" i="7"/>
  <c r="E25" i="7"/>
  <c r="I24" i="7"/>
  <c r="G24" i="7"/>
  <c r="J23" i="7"/>
  <c r="I23" i="7"/>
  <c r="E23" i="7"/>
  <c r="K22" i="7"/>
  <c r="F22" i="7"/>
  <c r="L21" i="7"/>
  <c r="G21" i="7"/>
  <c r="D21" i="7"/>
  <c r="K20" i="7"/>
  <c r="H20" i="7"/>
  <c r="N19" i="7"/>
  <c r="G19" i="7"/>
  <c r="G23" i="7"/>
  <c r="E20" i="7"/>
  <c r="K19" i="7"/>
  <c r="H19" i="7"/>
  <c r="F27" i="7"/>
  <c r="E24" i="7"/>
  <c r="F23" i="7"/>
  <c r="J22" i="7"/>
  <c r="G22" i="7"/>
  <c r="K21" i="7"/>
  <c r="H21" i="7"/>
  <c r="E21" i="7"/>
  <c r="L20" i="7"/>
  <c r="G20" i="7"/>
  <c r="D20" i="7"/>
  <c r="L19" i="7"/>
  <c r="E19" i="7"/>
  <c r="I20" i="7"/>
  <c r="J19" i="7"/>
  <c r="I19" i="7"/>
  <c r="C15" i="6"/>
  <c r="D34" i="3"/>
  <c r="F18" i="3"/>
  <c r="E10" i="3"/>
  <c r="C34" i="3"/>
  <c r="C35" i="3" s="1"/>
  <c r="E3" i="3"/>
  <c r="D35" i="3"/>
  <c r="F30" i="3"/>
  <c r="F17" i="3"/>
  <c r="F6" i="3"/>
  <c r="E19" i="3"/>
  <c r="E9" i="3"/>
  <c r="E26" i="3"/>
  <c r="F29" i="3"/>
  <c r="F13" i="3"/>
  <c r="E25" i="3"/>
  <c r="F28" i="3"/>
  <c r="F14" i="3"/>
  <c r="E29" i="3"/>
  <c r="E16" i="3"/>
  <c r="E6" i="3"/>
  <c r="F25" i="3"/>
  <c r="F8" i="3"/>
  <c r="F4" i="3"/>
  <c r="E20" i="3"/>
  <c r="E11" i="3"/>
  <c r="F26" i="3"/>
  <c r="F11" i="3"/>
  <c r="E23" i="3"/>
  <c r="E13" i="3"/>
  <c r="E5" i="3"/>
  <c r="F27" i="3"/>
  <c r="F9" i="3"/>
  <c r="E28" i="3"/>
  <c r="E15" i="3"/>
  <c r="E4" i="3"/>
  <c r="F24" i="3"/>
  <c r="F16" i="3"/>
  <c r="E27" i="3"/>
  <c r="E17" i="3"/>
  <c r="E7" i="3"/>
  <c r="F23" i="3"/>
  <c r="F15" i="3"/>
  <c r="F5" i="3"/>
  <c r="E21" i="3"/>
  <c r="F21" i="3"/>
  <c r="F12" i="3"/>
  <c r="F3" i="3"/>
  <c r="E22" i="3"/>
  <c r="E12" i="3"/>
  <c r="F20" i="3"/>
  <c r="F7" i="3"/>
  <c r="E30" i="3"/>
  <c r="E18" i="3"/>
  <c r="E8" i="3"/>
  <c r="F19" i="3"/>
  <c r="F22" i="3"/>
  <c r="F10" i="3"/>
  <c r="E24" i="3"/>
  <c r="E14" i="3"/>
  <c r="J18" i="7" l="1"/>
  <c r="K18" i="7"/>
  <c r="E18" i="7"/>
  <c r="I18" i="7"/>
  <c r="L18" i="7"/>
  <c r="G18" i="7"/>
  <c r="F18" i="7"/>
  <c r="H18" i="7"/>
  <c r="M18" i="7"/>
  <c r="N18" i="7"/>
  <c r="D18" i="7"/>
  <c r="O1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2B66CC-1F9A-4184-BDF3-E753F4CDB999}" keepAlive="1" name="Query - q2_clean" description="Connection to the 'q2_clean' query in the workbook." type="5" refreshedVersion="8" background="1" saveData="1">
    <dbPr connection="Provider=Microsoft.Mashup.OleDb.1;Data Source=$Workbook$;Location=q2_clean;Extended Properties=&quot;&quot;" command="SELECT * FROM [q2_clean]"/>
  </connection>
  <connection id="2" xr16:uid="{DA2E147A-03F7-4840-9773-B1F94689AF79}" keepAlive="1" name="Query - q2_dau_mau" description="Connection to the 'q2_dau_mau' query in the workbook." type="5" refreshedVersion="8" background="1" saveData="1">
    <dbPr connection="Provider=Microsoft.Mashup.OleDb.1;Data Source=$Workbook$;Location=q2_dau_mau;Extended Properties=&quot;&quot;" command="SELECT * FROM [q2_dau_mau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<sst xmlns="http://schemas.openxmlformats.org/spreadsheetml/2006/main" count="1366" uniqueCount="380">
  <si>
    <t>Customer ID</t>
  </si>
  <si>
    <t>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</si>
  <si>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</si>
  <si>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</si>
  <si>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</si>
  <si>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</si>
  <si>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</si>
  <si>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</si>
  <si>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</si>
  <si>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</si>
  <si>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</si>
  <si>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</si>
  <si>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</si>
  <si>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</si>
  <si>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</si>
  <si>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</si>
  <si>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</si>
  <si>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</si>
  <si>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</si>
  <si>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</si>
  <si>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</si>
  <si>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</si>
  <si>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</si>
  <si>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</si>
  <si>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</si>
  <si>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</si>
  <si>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</si>
  <si>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</si>
  <si>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</si>
  <si>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</si>
  <si>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Day</t>
  </si>
  <si>
    <t>82834</t>
  </si>
  <si>
    <t>2017</t>
  </si>
  <si>
    <t>10507</t>
  </si>
  <si>
    <t>29188</t>
  </si>
  <si>
    <t>51721</t>
  </si>
  <si>
    <t>45423</t>
  </si>
  <si>
    <t>536</t>
  </si>
  <si>
    <t>56511</t>
  </si>
  <si>
    <t>40051</t>
  </si>
  <si>
    <t>92973</t>
  </si>
  <si>
    <t>87762</t>
  </si>
  <si>
    <t>26912</t>
  </si>
  <si>
    <t>76619</t>
  </si>
  <si>
    <t>15153</t>
  </si>
  <si>
    <t>92477</t>
  </si>
  <si>
    <t>66612</t>
  </si>
  <si>
    <t>1551</t>
  </si>
  <si>
    <t>51065</t>
  </si>
  <si>
    <t>43999</t>
  </si>
  <si>
    <t>30518</t>
  </si>
  <si>
    <t>81652</t>
  </si>
  <si>
    <t>97562</t>
  </si>
  <si>
    <t>54044</t>
  </si>
  <si>
    <t>20182</t>
  </si>
  <si>
    <t>50012</t>
  </si>
  <si>
    <t>92724</t>
  </si>
  <si>
    <t>52463</t>
  </si>
  <si>
    <t>5249</t>
  </si>
  <si>
    <t>69997</t>
  </si>
  <si>
    <t>48818</t>
  </si>
  <si>
    <t>37846</t>
  </si>
  <si>
    <t>37764</t>
  </si>
  <si>
    <t>91202</t>
  </si>
  <si>
    <t>51446</t>
  </si>
  <si>
    <t>56275</t>
  </si>
  <si>
    <t>50939</t>
  </si>
  <si>
    <t>607</t>
  </si>
  <si>
    <t>76247</t>
  </si>
  <si>
    <t>28414</t>
  </si>
  <si>
    <t>21045</t>
  </si>
  <si>
    <t>98730</t>
  </si>
  <si>
    <t>4811</t>
  </si>
  <si>
    <t>55963</t>
  </si>
  <si>
    <t>92186</t>
  </si>
  <si>
    <t>8096</t>
  </si>
  <si>
    <t>60260</t>
  </si>
  <si>
    <t>5444</t>
  </si>
  <si>
    <t>18116</t>
  </si>
  <si>
    <t>30045</t>
  </si>
  <si>
    <t>92744</t>
  </si>
  <si>
    <t>17229</t>
  </si>
  <si>
    <t>12861</t>
  </si>
  <si>
    <t>77731</t>
  </si>
  <si>
    <t>7120</t>
  </si>
  <si>
    <t>71155</t>
  </si>
  <si>
    <t>34834</t>
  </si>
  <si>
    <t>58813</t>
  </si>
  <si>
    <t>48483</t>
  </si>
  <si>
    <t>16371</t>
  </si>
  <si>
    <t>37212</t>
  </si>
  <si>
    <t>56671</t>
  </si>
  <si>
    <t>62622</t>
  </si>
  <si>
    <t>39317</t>
  </si>
  <si>
    <t>63751</t>
  </si>
  <si>
    <t>55959</t>
  </si>
  <si>
    <t>9118</t>
  </si>
  <si>
    <t>14662</t>
  </si>
  <si>
    <t>99006</t>
  </si>
  <si>
    <t>42974</t>
  </si>
  <si>
    <t>3994</t>
  </si>
  <si>
    <t>15988</t>
  </si>
  <si>
    <t>42330</t>
  </si>
  <si>
    <t>80503</t>
  </si>
  <si>
    <t>10576</t>
  </si>
  <si>
    <t>76098</t>
  </si>
  <si>
    <t>79581</t>
  </si>
  <si>
    <t>99705</t>
  </si>
  <si>
    <t>1528</t>
  </si>
  <si>
    <t>16192</t>
  </si>
  <si>
    <t>73600</t>
  </si>
  <si>
    <t>30679</t>
  </si>
  <si>
    <t>323</t>
  </si>
  <si>
    <t>8355</t>
  </si>
  <si>
    <t>8816</t>
  </si>
  <si>
    <t>4236</t>
  </si>
  <si>
    <t>14999</t>
  </si>
  <si>
    <t>72979</t>
  </si>
  <si>
    <t>48832</t>
  </si>
  <si>
    <t>61598</t>
  </si>
  <si>
    <t>53161</t>
  </si>
  <si>
    <t>77676</t>
  </si>
  <si>
    <t>47780</t>
  </si>
  <si>
    <t>73782</t>
  </si>
  <si>
    <t>34313</t>
  </si>
  <si>
    <t>84220</t>
  </si>
  <si>
    <t>48109</t>
  </si>
  <si>
    <t>46978</t>
  </si>
  <si>
    <t>60375</t>
  </si>
  <si>
    <t>36940</t>
  </si>
  <si>
    <t>42803</t>
  </si>
  <si>
    <t>78540</t>
  </si>
  <si>
    <t>35533</t>
  </si>
  <si>
    <t>26805</t>
  </si>
  <si>
    <t>68693</t>
  </si>
  <si>
    <t>44400</t>
  </si>
  <si>
    <t>70501</t>
  </si>
  <si>
    <t>34579</t>
  </si>
  <si>
    <t>45547</t>
  </si>
  <si>
    <t>14007</t>
  </si>
  <si>
    <t>800</t>
  </si>
  <si>
    <t>49474</t>
  </si>
  <si>
    <t>671</t>
  </si>
  <si>
    <t>24319</t>
  </si>
  <si>
    <t>34052</t>
  </si>
  <si>
    <t>79867</t>
  </si>
  <si>
    <t>63810</t>
  </si>
  <si>
    <t>94457</t>
  </si>
  <si>
    <t>7770</t>
  </si>
  <si>
    <t>95977</t>
  </si>
  <si>
    <t>81268</t>
  </si>
  <si>
    <t>37520</t>
  </si>
  <si>
    <t>11588</t>
  </si>
  <si>
    <t>27486</t>
  </si>
  <si>
    <t>8741</t>
  </si>
  <si>
    <t>92194</t>
  </si>
  <si>
    <t>91219</t>
  </si>
  <si>
    <t>6311</t>
  </si>
  <si>
    <t>46202</t>
  </si>
  <si>
    <t>97867</t>
  </si>
  <si>
    <t>33836</t>
  </si>
  <si>
    <t>78992</t>
  </si>
  <si>
    <t>82852</t>
  </si>
  <si>
    <t>48348</t>
  </si>
  <si>
    <t>34280</t>
  </si>
  <si>
    <t>1594</t>
  </si>
  <si>
    <t>99858</t>
  </si>
  <si>
    <t>64209</t>
  </si>
  <si>
    <t>16988</t>
  </si>
  <si>
    <t>14595</t>
  </si>
  <si>
    <t>55565</t>
  </si>
  <si>
    <t>78799</t>
  </si>
  <si>
    <t>14914</t>
  </si>
  <si>
    <t>63761</t>
  </si>
  <si>
    <t>30949</t>
  </si>
  <si>
    <t>78728</t>
  </si>
  <si>
    <t>18626</t>
  </si>
  <si>
    <t>1135</t>
  </si>
  <si>
    <t>23751</t>
  </si>
  <si>
    <t>6998</t>
  </si>
  <si>
    <t>13255</t>
  </si>
  <si>
    <t>48025</t>
  </si>
  <si>
    <t>42795</t>
  </si>
  <si>
    <t>26653</t>
  </si>
  <si>
    <t>8070</t>
  </si>
  <si>
    <t>14761</t>
  </si>
  <si>
    <t>29210</t>
  </si>
  <si>
    <t>67885</t>
  </si>
  <si>
    <t>7809</t>
  </si>
  <si>
    <t>70936</t>
  </si>
  <si>
    <t>50211</t>
  </si>
  <si>
    <t>20112</t>
  </si>
  <si>
    <t>98843</t>
  </si>
  <si>
    <t>74334</t>
  </si>
  <si>
    <t>78320</t>
  </si>
  <si>
    <t>47437</t>
  </si>
  <si>
    <t>55032</t>
  </si>
  <si>
    <t>40454</t>
  </si>
  <si>
    <t>1401</t>
  </si>
  <si>
    <t>25599</t>
  </si>
  <si>
    <t>45883</t>
  </si>
  <si>
    <t>82274</t>
  </si>
  <si>
    <t>83078</t>
  </si>
  <si>
    <t>70899</t>
  </si>
  <si>
    <t>82084</t>
  </si>
  <si>
    <t>86210</t>
  </si>
  <si>
    <t>3925</t>
  </si>
  <si>
    <t>11150</t>
  </si>
  <si>
    <t>254</t>
  </si>
  <si>
    <t>34140</t>
  </si>
  <si>
    <t>27098</t>
  </si>
  <si>
    <t>87771</t>
  </si>
  <si>
    <t>83784</t>
  </si>
  <si>
    <t>27373</t>
  </si>
  <si>
    <t>65113</t>
  </si>
  <si>
    <t>44570</t>
  </si>
  <si>
    <t>93363</t>
  </si>
  <si>
    <t>21374</t>
  </si>
  <si>
    <t>33837</t>
  </si>
  <si>
    <t>78218</t>
  </si>
  <si>
    <t>12096</t>
  </si>
  <si>
    <t>82356</t>
  </si>
  <si>
    <t>16993</t>
  </si>
  <si>
    <t>12282</t>
  </si>
  <si>
    <t>15680</t>
  </si>
  <si>
    <t>32393</t>
  </si>
  <si>
    <t>84865</t>
  </si>
  <si>
    <t>31350</t>
  </si>
  <si>
    <t>91965</t>
  </si>
  <si>
    <t>2720</t>
  </si>
  <si>
    <t>84497</t>
  </si>
  <si>
    <t>36426</t>
  </si>
  <si>
    <t>32580</t>
  </si>
  <si>
    <t>92232</t>
  </si>
  <si>
    <t>50890</t>
  </si>
  <si>
    <t>25218</t>
  </si>
  <si>
    <t>4423</t>
  </si>
  <si>
    <t>31486</t>
  </si>
  <si>
    <t>103</t>
  </si>
  <si>
    <t>60241</t>
  </si>
  <si>
    <t>8971</t>
  </si>
  <si>
    <t>92829</t>
  </si>
  <si>
    <t>71561</t>
  </si>
  <si>
    <t>41428</t>
  </si>
  <si>
    <t>71740</t>
  </si>
  <si>
    <t>61503</t>
  </si>
  <si>
    <t>85089</t>
  </si>
  <si>
    <t>78034</t>
  </si>
  <si>
    <t>15757</t>
  </si>
  <si>
    <t>7695</t>
  </si>
  <si>
    <t>70810</t>
  </si>
  <si>
    <t>81983</t>
  </si>
  <si>
    <t>84230</t>
  </si>
  <si>
    <t>89639</t>
  </si>
  <si>
    <t>95835</t>
  </si>
  <si>
    <t>63892</t>
  </si>
  <si>
    <t>86767</t>
  </si>
  <si>
    <t>17059</t>
  </si>
  <si>
    <t>33387</t>
  </si>
  <si>
    <t>57239</t>
  </si>
  <si>
    <t>13982</t>
  </si>
  <si>
    <t>74035</t>
  </si>
  <si>
    <t>26905</t>
  </si>
  <si>
    <t>57224</t>
  </si>
  <si>
    <t>21546</t>
  </si>
  <si>
    <t>28857</t>
  </si>
  <si>
    <t>32654</t>
  </si>
  <si>
    <t>87083</t>
  </si>
  <si>
    <t>38664</t>
  </si>
  <si>
    <t>59835</t>
  </si>
  <si>
    <t>8455</t>
  </si>
  <si>
    <t>30399</t>
  </si>
  <si>
    <t>69877</t>
  </si>
  <si>
    <t>3938</t>
  </si>
  <si>
    <t>19635</t>
  </si>
  <si>
    <t>66240</t>
  </si>
  <si>
    <t>40081</t>
  </si>
  <si>
    <t>81689</t>
  </si>
  <si>
    <t>90186</t>
  </si>
  <si>
    <t>99058</t>
  </si>
  <si>
    <t>65882</t>
  </si>
  <si>
    <t>61611</t>
  </si>
  <si>
    <t>63966</t>
  </si>
  <si>
    <t>93640</t>
  </si>
  <si>
    <t>22996</t>
  </si>
  <si>
    <t>1263</t>
  </si>
  <si>
    <t>54989</t>
  </si>
  <si>
    <t>42779</t>
  </si>
  <si>
    <t>96635</t>
  </si>
  <si>
    <t>57802</t>
  </si>
  <si>
    <t>84657</t>
  </si>
  <si>
    <t>54185</t>
  </si>
  <si>
    <t>87637</t>
  </si>
  <si>
    <t>41569</t>
  </si>
  <si>
    <t>49419</t>
  </si>
  <si>
    <t>13530</t>
  </si>
  <si>
    <t>95472</t>
  </si>
  <si>
    <t>64684</t>
  </si>
  <si>
    <t>35639</t>
  </si>
  <si>
    <t>7853</t>
  </si>
  <si>
    <t>23764</t>
  </si>
  <si>
    <t>15634</t>
  </si>
  <si>
    <t>31537</t>
  </si>
  <si>
    <t>31025</t>
  </si>
  <si>
    <t>4528</t>
  </si>
  <si>
    <t>48540</t>
  </si>
  <si>
    <t>53259</t>
  </si>
  <si>
    <t>27734</t>
  </si>
  <si>
    <t>55735</t>
  </si>
  <si>
    <t>50272</t>
  </si>
  <si>
    <t>58331</t>
  </si>
  <si>
    <t>40105</t>
  </si>
  <si>
    <t>31771</t>
  </si>
  <si>
    <t>22843</t>
  </si>
  <si>
    <t>63965</t>
  </si>
  <si>
    <t>90350</t>
  </si>
  <si>
    <t>29875</t>
  </si>
  <si>
    <t>21743</t>
  </si>
  <si>
    <t>40926</t>
  </si>
  <si>
    <t>99992</t>
  </si>
  <si>
    <t>90626</t>
  </si>
  <si>
    <t>14846</t>
  </si>
  <si>
    <t>59342</t>
  </si>
  <si>
    <t>37403</t>
  </si>
  <si>
    <t>65590</t>
  </si>
  <si>
    <t>57871</t>
  </si>
  <si>
    <t>6226</t>
  </si>
  <si>
    <t>79172</t>
  </si>
  <si>
    <t>48627</t>
  </si>
  <si>
    <t>70498</t>
  </si>
  <si>
    <t>88241</t>
  </si>
  <si>
    <t>99565</t>
  </si>
  <si>
    <t>49424</t>
  </si>
  <si>
    <t>52817</t>
  </si>
  <si>
    <t>77204</t>
  </si>
  <si>
    <t>41976</t>
  </si>
  <si>
    <t>72778</t>
  </si>
  <si>
    <t>9027</t>
  </si>
  <si>
    <t>13928</t>
  </si>
  <si>
    <t>70949</t>
  </si>
  <si>
    <t>17982</t>
  </si>
  <si>
    <t>3042</t>
  </si>
  <si>
    <t>53770</t>
  </si>
  <si>
    <t>30744</t>
  </si>
  <si>
    <t>38665</t>
  </si>
  <si>
    <t>31107</t>
  </si>
  <si>
    <t>35556</t>
  </si>
  <si>
    <t>36168</t>
  </si>
  <si>
    <t>85388</t>
  </si>
  <si>
    <t>32657</t>
  </si>
  <si>
    <t>13595</t>
  </si>
  <si>
    <t>82801</t>
  </si>
  <si>
    <t>3066</t>
  </si>
  <si>
    <t>3238</t>
  </si>
  <si>
    <t>75073</t>
  </si>
  <si>
    <t>74526</t>
  </si>
  <si>
    <t>34742</t>
  </si>
  <si>
    <t>82221</t>
  </si>
  <si>
    <t>55675</t>
  </si>
  <si>
    <t>2018</t>
  </si>
  <si>
    <t>Active Days</t>
  </si>
  <si>
    <t>DAU</t>
  </si>
  <si>
    <t>MAU</t>
  </si>
  <si>
    <t>DAU / MAU</t>
  </si>
  <si>
    <t>DAU/MAU</t>
  </si>
  <si>
    <t>Average DAU</t>
  </si>
  <si>
    <t>total</t>
  </si>
  <si>
    <t>ARPU - US &amp; Canada</t>
  </si>
  <si>
    <t>New User Acquisition</t>
  </si>
  <si>
    <t>Newly Acquired Users</t>
  </si>
  <si>
    <t>Total New Users</t>
  </si>
  <si>
    <t>Cost Per Acquired User</t>
  </si>
  <si>
    <t>Assumptions</t>
  </si>
  <si>
    <t>Calculations</t>
  </si>
  <si>
    <t>Objective</t>
  </si>
  <si>
    <t>New User Acquisition Cost</t>
  </si>
  <si>
    <t>Ratio of ARPU to CPA (US &amp; Canada)</t>
  </si>
  <si>
    <t>Month of Acquisition</t>
  </si>
  <si>
    <t>New acquired Customers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</si>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</sst>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&quot;$&quot;#,##0.0,,&quot;M&quot;"/>
    <numFmt numFmtId="166" formatCode="#,##0.0,,&quot;M&quot;"/>
    <numFmt numFmtId="167" formatCode="&quot;$&quot;#,##0,,&quot;M&quot;"/>
    <numFmt numFmtId="168" formatCode="m/d/yy;@"/>
    <numFmt numFmtId="169" formatCode="mmm\ \'yy"/>
    <numFmt numFmtId="170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9" fontId="0" fillId="0" borderId="0" xfId="1" applyFont="1"/>
    <xf numFmtId="16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/>
    </xf>
    <xf numFmtId="9" fontId="2" fillId="0" borderId="0" xfId="1" applyFont="1"/>
    <xf numFmtId="0" fontId="0" fillId="2" borderId="0" xfId="0" applyFill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5" fillId="0" borderId="0" xfId="0" applyNumberFormat="1" applyFont="1"/>
    <xf numFmtId="9" fontId="5" fillId="0" borderId="0" xfId="1" applyFont="1" applyBorder="1"/>
    <xf numFmtId="167" fontId="5" fillId="0" borderId="0" xfId="0" applyNumberFormat="1" applyFont="1"/>
    <xf numFmtId="168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168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9" fontId="0" fillId="0" borderId="1" xfId="1" applyFont="1" applyBorder="1"/>
    <xf numFmtId="169" fontId="0" fillId="0" borderId="0" xfId="0" applyNumberFormat="1"/>
    <xf numFmtId="170" fontId="5" fillId="0" borderId="0" xfId="0" applyNumberFormat="1" applyFont="1"/>
    <xf numFmtId="170" fontId="0" fillId="0" borderId="0" xfId="0" applyNumberFormat="1"/>
  </cellXfs>
  <cellStyles count="2">
    <cellStyle name="Normal" xfId="0" builtinId="0"/>
    <cellStyle name="Percent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Power User Curve</a:t>
            </a:r>
            <a:r>
              <a:rPr lang="en-US" b="1" baseline="0"/>
              <a:t> </a:t>
            </a:r>
            <a:r>
              <a:rPr lang="en-US" baseline="0"/>
              <a:t>- Last 28 Days</a:t>
            </a:r>
          </a:p>
          <a:p>
            <a:pPr algn="l">
              <a:defRPr/>
            </a:pPr>
            <a:r>
              <a:rPr lang="en-US" sz="1100" b="1" baseline="0">
                <a:solidFill>
                  <a:schemeClr val="accent1"/>
                </a:solidFill>
              </a:rPr>
              <a:t>2017</a:t>
            </a:r>
            <a:r>
              <a:rPr lang="en-US" sz="1100" baseline="0"/>
              <a:t> vs </a:t>
            </a:r>
            <a:r>
              <a:rPr lang="en-US" sz="1100" b="1" baseline="0">
                <a:solidFill>
                  <a:schemeClr val="accent2"/>
                </a:solidFill>
              </a:rPr>
              <a:t>2018</a:t>
            </a:r>
            <a:endParaRPr lang="en-US" sz="11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9.935022944266268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q2_viz!$E$2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q2_viz!$B$3:$B$30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q2_viz!$E$3:$E$30</c:f>
              <c:numCache>
                <c:formatCode>0%</c:formatCode>
                <c:ptCount val="28"/>
                <c:pt idx="0">
                  <c:v>3.0581039755351682E-3</c:v>
                </c:pt>
                <c:pt idx="1">
                  <c:v>0</c:v>
                </c:pt>
                <c:pt idx="2">
                  <c:v>1.2232415902140673E-2</c:v>
                </c:pt>
                <c:pt idx="3">
                  <c:v>3.3639143730886847E-2</c:v>
                </c:pt>
                <c:pt idx="4">
                  <c:v>6.4220183486238536E-2</c:v>
                </c:pt>
                <c:pt idx="5">
                  <c:v>0.14678899082568808</c:v>
                </c:pt>
                <c:pt idx="6">
                  <c:v>0.14984709480122324</c:v>
                </c:pt>
                <c:pt idx="7">
                  <c:v>0.13455657492354739</c:v>
                </c:pt>
                <c:pt idx="8">
                  <c:v>0.17737003058103976</c:v>
                </c:pt>
                <c:pt idx="9">
                  <c:v>0.10397553516819572</c:v>
                </c:pt>
                <c:pt idx="10">
                  <c:v>9.1743119266055051E-2</c:v>
                </c:pt>
                <c:pt idx="11">
                  <c:v>3.9755351681957186E-2</c:v>
                </c:pt>
                <c:pt idx="12">
                  <c:v>2.1406727828746176E-2</c:v>
                </c:pt>
                <c:pt idx="13">
                  <c:v>1.5290519877675841E-2</c:v>
                </c:pt>
                <c:pt idx="14">
                  <c:v>6.1162079510703364E-3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4A-48E1-8233-1B85BD705B48}"/>
            </c:ext>
          </c:extLst>
        </c:ser>
        <c:ser>
          <c:idx val="1"/>
          <c:order val="1"/>
          <c:tx>
            <c:strRef>
              <c:f>q2_viz!$F$2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q2_viz!$B$3:$B$30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q2_viz!$F$3:$F$30</c:f>
              <c:numCache>
                <c:formatCode>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9.1743119266055051E-3</c:v>
                </c:pt>
                <c:pt idx="6">
                  <c:v>1.834862385321101E-2</c:v>
                </c:pt>
                <c:pt idx="7">
                  <c:v>6.7278287461773695E-2</c:v>
                </c:pt>
                <c:pt idx="8">
                  <c:v>7.0336391437308868E-2</c:v>
                </c:pt>
                <c:pt idx="9">
                  <c:v>8.2568807339449546E-2</c:v>
                </c:pt>
                <c:pt idx="10">
                  <c:v>0.11926605504587157</c:v>
                </c:pt>
                <c:pt idx="11">
                  <c:v>0.13149847094801223</c:v>
                </c:pt>
                <c:pt idx="12">
                  <c:v>0.14067278287461774</c:v>
                </c:pt>
                <c:pt idx="13">
                  <c:v>0.11009174311926606</c:v>
                </c:pt>
                <c:pt idx="14">
                  <c:v>0.11620795107033639</c:v>
                </c:pt>
                <c:pt idx="15">
                  <c:v>7.3394495412844041E-2</c:v>
                </c:pt>
                <c:pt idx="16">
                  <c:v>3.9755351681957186E-2</c:v>
                </c:pt>
                <c:pt idx="17">
                  <c:v>6.1162079510703364E-3</c:v>
                </c:pt>
                <c:pt idx="18">
                  <c:v>9.1743119266055051E-3</c:v>
                </c:pt>
                <c:pt idx="19">
                  <c:v>3.0581039755351682E-3</c:v>
                </c:pt>
                <c:pt idx="20">
                  <c:v>0</c:v>
                </c:pt>
                <c:pt idx="21">
                  <c:v>3.0581039755351682E-3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84A-48E1-8233-1B85BD705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771280"/>
        <c:axId val="105760720"/>
      </c:lineChart>
      <c:catAx>
        <c:axId val="10577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60720"/>
        <c:crosses val="autoZero"/>
        <c:auto val="1"/>
        <c:lblAlgn val="ctr"/>
        <c:lblOffset val="100"/>
        <c:noMultiLvlLbl val="0"/>
      </c:catAx>
      <c:valAx>
        <c:axId val="105760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71280"/>
        <c:crosses val="autoZero"/>
        <c:crossBetween val="between"/>
        <c:majorUnit val="4.0000000000000008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Retention Curve by Cohort</a:t>
            </a:r>
          </a:p>
        </c:rich>
      </c:tx>
      <c:layout>
        <c:manualLayout>
          <c:xMode val="edge"/>
          <c:yMode val="edge"/>
          <c:x val="7.5678040244970331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'q3'!$B$18</c:f>
              <c:strCache>
                <c:ptCount val="1"/>
                <c:pt idx="0">
                  <c:v>Jan '17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'q3'!$D$17:$O$17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'q3'!$D$18:$O$18</c:f>
              <c:numCache>
                <c:formatCode>0%</c:formatCode>
                <c:ptCount val="12"/>
                <c:pt idx="0">
                  <c:v>1</c:v>
                </c:pt>
                <c:pt idx="1">
                  <c:v>0.96</c:v>
                </c:pt>
                <c:pt idx="2">
                  <c:v>0.92</c:v>
                </c:pt>
                <c:pt idx="3">
                  <c:v>0.9</c:v>
                </c:pt>
                <c:pt idx="4">
                  <c:v>0.8</c:v>
                </c:pt>
                <c:pt idx="5">
                  <c:v>0.66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0.18</c:v>
                </c:pt>
                <c:pt idx="10">
                  <c:v>0.1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1D-47D1-8D0E-DC05040F4471}"/>
            </c:ext>
          </c:extLst>
        </c:ser>
        <c:ser>
          <c:idx val="2"/>
          <c:order val="1"/>
          <c:tx>
            <c:strRef>
              <c:f>'q3'!$B$19</c:f>
              <c:strCache>
                <c:ptCount val="1"/>
                <c:pt idx="0">
                  <c:v>Feb '17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'q3'!$D$17:$O$17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'q3'!$D$19:$O$19</c:f>
              <c:numCache>
                <c:formatCode>0%</c:formatCode>
                <c:ptCount val="12"/>
                <c:pt idx="0">
                  <c:v>1</c:v>
                </c:pt>
                <c:pt idx="1">
                  <c:v>0.92592592592592593</c:v>
                </c:pt>
                <c:pt idx="2">
                  <c:v>0.85185185185185186</c:v>
                </c:pt>
                <c:pt idx="3">
                  <c:v>0.79629629629629628</c:v>
                </c:pt>
                <c:pt idx="4">
                  <c:v>0.55555555555555558</c:v>
                </c:pt>
                <c:pt idx="5">
                  <c:v>0.35185185185185186</c:v>
                </c:pt>
                <c:pt idx="6">
                  <c:v>0.27777777777777779</c:v>
                </c:pt>
                <c:pt idx="7">
                  <c:v>0.18518518518518517</c:v>
                </c:pt>
                <c:pt idx="8">
                  <c:v>0.18518518518518517</c:v>
                </c:pt>
                <c:pt idx="9">
                  <c:v>0.1111111111111111</c:v>
                </c:pt>
                <c:pt idx="10">
                  <c:v>3.7037037037037035E-2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1D-47D1-8D0E-DC05040F4471}"/>
            </c:ext>
          </c:extLst>
        </c:ser>
        <c:ser>
          <c:idx val="3"/>
          <c:order val="2"/>
          <c:tx>
            <c:strRef>
              <c:f>'q3'!$B$20</c:f>
              <c:strCache>
                <c:ptCount val="1"/>
                <c:pt idx="0">
                  <c:v>Mar '17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'q3'!$D$17:$O$17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'q3'!$D$20:$O$20</c:f>
              <c:numCache>
                <c:formatCode>0%</c:formatCode>
                <c:ptCount val="12"/>
                <c:pt idx="0">
                  <c:v>1</c:v>
                </c:pt>
                <c:pt idx="1">
                  <c:v>0.92307692307692313</c:v>
                </c:pt>
                <c:pt idx="2">
                  <c:v>0.90769230769230769</c:v>
                </c:pt>
                <c:pt idx="3">
                  <c:v>0.84615384615384615</c:v>
                </c:pt>
                <c:pt idx="4">
                  <c:v>0.76923076923076927</c:v>
                </c:pt>
                <c:pt idx="5">
                  <c:v>0.70769230769230773</c:v>
                </c:pt>
                <c:pt idx="6">
                  <c:v>0.46153846153846156</c:v>
                </c:pt>
                <c:pt idx="7">
                  <c:v>0.30769230769230771</c:v>
                </c:pt>
                <c:pt idx="8">
                  <c:v>0.15384615384615385</c:v>
                </c:pt>
                <c:pt idx="9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1D-47D1-8D0E-DC05040F4471}"/>
            </c:ext>
          </c:extLst>
        </c:ser>
        <c:ser>
          <c:idx val="4"/>
          <c:order val="3"/>
          <c:tx>
            <c:strRef>
              <c:f>'q3'!$B$21</c:f>
              <c:strCache>
                <c:ptCount val="1"/>
                <c:pt idx="0">
                  <c:v>Apr '17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'q3'!$D$17:$O$17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'q3'!$D$21:$O$21</c:f>
              <c:numCache>
                <c:formatCode>0%</c:formatCode>
                <c:ptCount val="12"/>
                <c:pt idx="0">
                  <c:v>1</c:v>
                </c:pt>
                <c:pt idx="1">
                  <c:v>0.93492063492063493</c:v>
                </c:pt>
                <c:pt idx="2">
                  <c:v>0.79365079365079361</c:v>
                </c:pt>
                <c:pt idx="3">
                  <c:v>0.74603174603174605</c:v>
                </c:pt>
                <c:pt idx="4">
                  <c:v>0.69841269841269837</c:v>
                </c:pt>
                <c:pt idx="5">
                  <c:v>0.63492063492063489</c:v>
                </c:pt>
                <c:pt idx="6">
                  <c:v>0.47619047619047616</c:v>
                </c:pt>
                <c:pt idx="7">
                  <c:v>0.23809523809523808</c:v>
                </c:pt>
                <c:pt idx="8">
                  <c:v>0.15873015873015872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1D-47D1-8D0E-DC05040F4471}"/>
            </c:ext>
          </c:extLst>
        </c:ser>
        <c:ser>
          <c:idx val="5"/>
          <c:order val="4"/>
          <c:tx>
            <c:strRef>
              <c:f>'q3'!$B$22</c:f>
              <c:strCache>
                <c:ptCount val="1"/>
                <c:pt idx="0">
                  <c:v>May '17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'q3'!$D$17:$O$17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'q3'!$D$22:$O$22</c:f>
              <c:numCache>
                <c:formatCode>0%</c:formatCode>
                <c:ptCount val="12"/>
                <c:pt idx="0">
                  <c:v>1</c:v>
                </c:pt>
                <c:pt idx="1">
                  <c:v>0.96610169491525422</c:v>
                </c:pt>
                <c:pt idx="2">
                  <c:v>0.93220338983050843</c:v>
                </c:pt>
                <c:pt idx="3">
                  <c:v>0.88135593220338981</c:v>
                </c:pt>
                <c:pt idx="4">
                  <c:v>0.84745762711864403</c:v>
                </c:pt>
                <c:pt idx="5">
                  <c:v>0.67796610169491522</c:v>
                </c:pt>
                <c:pt idx="6">
                  <c:v>0.59322033898305082</c:v>
                </c:pt>
                <c:pt idx="7">
                  <c:v>0.49152542372881358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1D-47D1-8D0E-DC05040F4471}"/>
            </c:ext>
          </c:extLst>
        </c:ser>
        <c:ser>
          <c:idx val="6"/>
          <c:order val="5"/>
          <c:tx>
            <c:strRef>
              <c:f>'q3'!$B$23</c:f>
              <c:strCache>
                <c:ptCount val="1"/>
                <c:pt idx="0">
                  <c:v>Jun '17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'q3'!$D$17:$O$17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'q3'!$D$23:$O$23</c:f>
              <c:numCache>
                <c:formatCode>0%</c:formatCode>
                <c:ptCount val="12"/>
                <c:pt idx="0">
                  <c:v>1</c:v>
                </c:pt>
                <c:pt idx="1">
                  <c:v>0.97014925373134331</c:v>
                </c:pt>
                <c:pt idx="2">
                  <c:v>0.92537313432835822</c:v>
                </c:pt>
                <c:pt idx="3">
                  <c:v>0.80597014925373134</c:v>
                </c:pt>
                <c:pt idx="4">
                  <c:v>0.77611940298507465</c:v>
                </c:pt>
                <c:pt idx="5">
                  <c:v>0.74626865671641796</c:v>
                </c:pt>
                <c:pt idx="6">
                  <c:v>0.55223880597014929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1D-47D1-8D0E-DC05040F4471}"/>
            </c:ext>
          </c:extLst>
        </c:ser>
        <c:ser>
          <c:idx val="7"/>
          <c:order val="6"/>
          <c:tx>
            <c:strRef>
              <c:f>'q3'!$B$24</c:f>
              <c:strCache>
                <c:ptCount val="1"/>
                <c:pt idx="0">
                  <c:v>Jul '17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'q3'!$D$17:$O$17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'q3'!$D$24:$O$24</c:f>
              <c:numCache>
                <c:formatCode>0%</c:formatCode>
                <c:ptCount val="12"/>
                <c:pt idx="0">
                  <c:v>1</c:v>
                </c:pt>
                <c:pt idx="1">
                  <c:v>0.96875</c:v>
                </c:pt>
                <c:pt idx="2">
                  <c:v>0.90625</c:v>
                </c:pt>
                <c:pt idx="3">
                  <c:v>0.859375</c:v>
                </c:pt>
                <c:pt idx="4">
                  <c:v>0.796875</c:v>
                </c:pt>
                <c:pt idx="5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1D-47D1-8D0E-DC05040F4471}"/>
            </c:ext>
          </c:extLst>
        </c:ser>
        <c:ser>
          <c:idx val="8"/>
          <c:order val="7"/>
          <c:tx>
            <c:strRef>
              <c:f>'q3'!$B$25</c:f>
              <c:strCache>
                <c:ptCount val="1"/>
                <c:pt idx="0">
                  <c:v>Aug '17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'q3'!$D$17:$O$17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'q3'!$D$25:$O$25</c:f>
              <c:numCache>
                <c:formatCode>0%</c:formatCode>
                <c:ptCount val="12"/>
                <c:pt idx="0">
                  <c:v>1</c:v>
                </c:pt>
                <c:pt idx="1">
                  <c:v>0.95714285714285718</c:v>
                </c:pt>
                <c:pt idx="2">
                  <c:v>0.90428571428571425</c:v>
                </c:pt>
                <c:pt idx="3">
                  <c:v>0.85571428571428576</c:v>
                </c:pt>
                <c:pt idx="4">
                  <c:v>0.7857142857142857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1D-47D1-8D0E-DC05040F4471}"/>
            </c:ext>
          </c:extLst>
        </c:ser>
        <c:ser>
          <c:idx val="9"/>
          <c:order val="8"/>
          <c:tx>
            <c:strRef>
              <c:f>'q3'!$B$26</c:f>
              <c:strCache>
                <c:ptCount val="1"/>
                <c:pt idx="0">
                  <c:v>Sep '17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'q3'!$D$17:$O$17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'q3'!$D$26:$O$26</c:f>
              <c:numCache>
                <c:formatCode>0%</c:formatCode>
                <c:ptCount val="12"/>
                <c:pt idx="0">
                  <c:v>1</c:v>
                </c:pt>
                <c:pt idx="1">
                  <c:v>0.97222222222222221</c:v>
                </c:pt>
                <c:pt idx="2">
                  <c:v>0.91666666666666663</c:v>
                </c:pt>
                <c:pt idx="3">
                  <c:v>0.81944444444444442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1D-47D1-8D0E-DC05040F4471}"/>
            </c:ext>
          </c:extLst>
        </c:ser>
        <c:ser>
          <c:idx val="10"/>
          <c:order val="9"/>
          <c:tx>
            <c:strRef>
              <c:f>'q3'!$B$27</c:f>
              <c:strCache>
                <c:ptCount val="1"/>
                <c:pt idx="0">
                  <c:v>Oct '17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'q3'!$D$17:$O$17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'q3'!$D$27:$O$27</c:f>
              <c:numCache>
                <c:formatCode>0%</c:formatCode>
                <c:ptCount val="12"/>
                <c:pt idx="0">
                  <c:v>1</c:v>
                </c:pt>
                <c:pt idx="1">
                  <c:v>0.93846153846153846</c:v>
                </c:pt>
                <c:pt idx="2">
                  <c:v>0.90769230769230769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1D-47D1-8D0E-DC05040F4471}"/>
            </c:ext>
          </c:extLst>
        </c:ser>
        <c:ser>
          <c:idx val="11"/>
          <c:order val="10"/>
          <c:tx>
            <c:strRef>
              <c:f>'q3'!$B$28</c:f>
              <c:strCache>
                <c:ptCount val="1"/>
                <c:pt idx="0">
                  <c:v>Nov '17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'q3'!$D$17:$O$17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'q3'!$D$28:$O$28</c:f>
              <c:numCache>
                <c:formatCode>0%</c:formatCode>
                <c:ptCount val="12"/>
                <c:pt idx="0">
                  <c:v>1</c:v>
                </c:pt>
                <c:pt idx="1">
                  <c:v>0.96202531645569622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1D-47D1-8D0E-DC05040F4471}"/>
            </c:ext>
          </c:extLst>
        </c:ser>
        <c:ser>
          <c:idx val="12"/>
          <c:order val="11"/>
          <c:tx>
            <c:strRef>
              <c:f>'q3'!$B$29</c:f>
              <c:strCache>
                <c:ptCount val="1"/>
                <c:pt idx="0">
                  <c:v>Dec '17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'q3'!$D$17:$O$17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'q3'!$D$29:$O$29</c:f>
              <c:numCache>
                <c:formatCode>0%</c:formatCode>
                <c:ptCount val="1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1D-47D1-8D0E-DC05040F4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279024"/>
        <c:axId val="1400288624"/>
      </c:lineChart>
      <c:catAx>
        <c:axId val="1400279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  <a:r>
                  <a:rPr lang="en-US" baseline="0"/>
                  <a:t> After First Conversion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88624"/>
        <c:crosses val="autoZero"/>
        <c:auto val="1"/>
        <c:lblAlgn val="ctr"/>
        <c:lblOffset val="100"/>
        <c:noMultiLvlLbl val="0"/>
      </c:catAx>
      <c:valAx>
        <c:axId val="14002886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Retention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790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34</xdr:row>
      <xdr:rowOff>80010</xdr:rowOff>
    </xdr:from>
    <xdr:to>
      <xdr:col>15</xdr:col>
      <xdr:colOff>304800</xdr:colOff>
      <xdr:row>58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F2BAAE-AF7A-5AF9-0ED9-8F87CCA3C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304800</xdr:colOff>
      <xdr:row>7</xdr:row>
      <xdr:rowOff>87630</xdr:rowOff>
    </xdr:from>
    <xdr:to>
      <xdr:col>24</xdr:col>
      <xdr:colOff>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9993D7-C9BC-3EC9-6CFA-CCBEB8FBF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AE4DA5-F6D0-44C1-8EF4-85B7283D6E16}" autoFormatId="16" applyNumberFormats="0" applyBorderFormats="0" applyFontFormats="0" applyPatternFormats="0" applyAlignmentFormats="0" applyWidthHeightFormats="0">
  <queryTableRefresh nextId="9">
    <queryTableFields count="3">
      <queryTableField id="6" name="Customer ID" tableColumnId="6"/>
      <queryTableField id="2" name="Year" tableColumnId="2"/>
      <queryTableField id="7" name="Active Day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74064EB-49AC-4D05-9BCA-82850A891C7A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Year" tableColumnId="1"/>
      <queryTableField id="2" name="Day" tableColumnId="2"/>
      <queryTableField id="3" name="DAU" tableColumnId="3"/>
      <queryTableField id="4" name="MAU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C0CEC4-328D-4E00-9071-E1B3E02838EE}" name="q2_clean" displayName="q2_clean" ref="A1:C655" tableType="queryTable" totalsRowShown="0">
  <autoFilter ref="A1:C655" xr:uid="{71C0CEC4-328D-4E00-9071-E1B3E02838EE}"/>
  <tableColumns count="3">
    <tableColumn id="6" xr3:uid="{44C88DAB-4B0A-4BC2-9ACD-1450CF2E65AD}" uniqueName="6" name="Customer ID" queryTableFieldId="6" dataDxfId="2"/>
    <tableColumn id="2" xr3:uid="{63346C5A-E0F5-428D-B843-F547BF1C1345}" uniqueName="2" name="Year" queryTableFieldId="2" dataDxfId="1"/>
    <tableColumn id="7" xr3:uid="{C9AD379A-A1AE-4DF3-A8B7-FB7120E73CE9}" uniqueName="7" name="Active Days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A36707-0320-415A-B8D0-7845A156E30E}" name="q2_dau_mau" displayName="q2_dau_mau" ref="A1:E57" tableType="queryTable" totalsRowShown="0">
  <autoFilter ref="A1:E57" xr:uid="{18A36707-0320-415A-B8D0-7845A156E30E}"/>
  <tableColumns count="5">
    <tableColumn id="1" xr3:uid="{FAD5D847-EBD3-4085-BF20-B3342F68434B}" uniqueName="1" name="Year" queryTableFieldId="1"/>
    <tableColumn id="2" xr3:uid="{7909C950-5A99-4C03-BDBB-42D25370021E}" uniqueName="2" name="Day" queryTableFieldId="2"/>
    <tableColumn id="3" xr3:uid="{FADD81FC-E256-4332-BA44-52B757043017}" uniqueName="3" name="DAU" queryTableFieldId="3"/>
    <tableColumn id="4" xr3:uid="{45E55715-91FF-4298-9CBB-9EDA52082791}" uniqueName="4" name="MAU" queryTableFieldId="4"/>
    <tableColumn id="5" xr3:uid="{73378A6F-82DA-4316-B686-6100BB6836EF}" uniqueName="5" name="DAU/MAU" queryTableFieldId="5" dataCellStyle="Percent">
      <calculatedColumnFormula>q2_dau_mau[[#This Row],[DAU]]/q2_dau_mau[[#This Row],[MAU]]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753F9-738B-4FC1-9EA2-EF23A3F791C9}" name="q2_raw" displayName="q2_raw" ref="B2:AF656" totalsRowShown="0">
  <autoFilter ref="B2:AF656" xr:uid="{96B753F9-738B-4FC1-9EA2-EF23A3F791C9}">
    <filterColumn colId="1">
      <filters>
        <filter val="2017"/>
      </filters>
    </filterColumn>
  </autoFilter>
  <tableColumns count="31">
    <tableColumn id="1" xr3:uid="{BEF90663-7806-452E-9B97-8F637C347F57}" name="Customer ID"/>
    <tableColumn id="2" xr3:uid="{15380455-9334-4F66-B88F-B355A52CC6E8}" name="Year"/>
    <tableColumn id="3" xr3:uid="{0EC8F118-1AF6-4C1D-A2A8-CB52BEABFE1D}" name="1"/>
    <tableColumn id="4" xr3:uid="{BB07422C-D5A3-4F2A-8F6A-F25C628673A1}" name="2"/>
    <tableColumn id="5" xr3:uid="{BE14CA9E-64BD-4AC4-9C0D-BE6AA60F69AC}" name="3"/>
    <tableColumn id="6" xr3:uid="{78B9397D-37F2-40C8-A34E-40AA99C393BC}" name="4"/>
    <tableColumn id="7" xr3:uid="{4E44104C-13F3-4825-8BE4-1E12D6015060}" name="5"/>
    <tableColumn id="8" xr3:uid="{3685996F-99A7-4A3E-8515-C0370A53C63E}" name="6"/>
    <tableColumn id="9" xr3:uid="{CC186BC8-7D88-44AF-B780-6A1C40F16B86}" name="7"/>
    <tableColumn id="10" xr3:uid="{B85B4888-8060-4673-8594-F256B904F428}" name="8"/>
    <tableColumn id="11" xr3:uid="{5AFB52B2-6D69-4A72-9CAB-CC26CB07E672}" name="9"/>
    <tableColumn id="12" xr3:uid="{6585E587-ABE7-4C4F-811F-76516D38F608}" name="10"/>
    <tableColumn id="13" xr3:uid="{7AF38614-9792-419E-B0EF-824F3BDC6005}" name="11"/>
    <tableColumn id="14" xr3:uid="{E3E6E159-766F-4814-8BBA-6EB26FFB9805}" name="12"/>
    <tableColumn id="15" xr3:uid="{9696EFC0-097C-43BF-B32A-F87E798A4E89}" name="13"/>
    <tableColumn id="16" xr3:uid="{48E7E6D7-56CC-4F02-A8DF-8498788D618D}" name="14"/>
    <tableColumn id="17" xr3:uid="{A51DE8CE-698A-4553-8ACF-E43A8C22785D}" name="15"/>
    <tableColumn id="18" xr3:uid="{2ACCDFEC-8DE6-43F2-A6BB-07511F5BC152}" name="16"/>
    <tableColumn id="19" xr3:uid="{A19ECFCA-703E-4B44-B575-D85FDD0DD216}" name="17"/>
    <tableColumn id="20" xr3:uid="{5EA78CB8-7105-4C98-82CA-4BD18181AFBA}" name="18"/>
    <tableColumn id="21" xr3:uid="{183F464A-04EC-4921-A2DD-296673909F44}" name="19"/>
    <tableColumn id="22" xr3:uid="{BACCF117-677D-41C1-99A5-53EB600BF71A}" name="20"/>
    <tableColumn id="23" xr3:uid="{3D835C28-E7C2-43E5-A564-BAB5A349CCC5}" name="21"/>
    <tableColumn id="24" xr3:uid="{C14644C8-0FDF-477E-8986-C6D03A38909E}" name="22"/>
    <tableColumn id="25" xr3:uid="{C14A99F1-4E79-4EFF-A721-5A55B897BB8C}" name="23"/>
    <tableColumn id="26" xr3:uid="{8733CD85-09F5-493F-A4E7-64C73850C70D}" name="24"/>
    <tableColumn id="27" xr3:uid="{94C58F66-FEBB-417C-AB80-0446BF30F0EC}" name="25"/>
    <tableColumn id="28" xr3:uid="{3BAED1F7-AA22-4AC0-BBED-522F9DB8A9F9}" name="26"/>
    <tableColumn id="29" xr3:uid="{0D357359-1897-4B41-9A73-40578B05964A}" name="27"/>
    <tableColumn id="30" xr3:uid="{9B73A0C1-7DDD-4331-B8E4-6D1673516D27}" name="28"/>
    <tableColumn id="31" xr3:uid="{50FF0787-5CC1-4186-8FFB-D9F07F2F332C}" name="total" dataDxfId="0">
      <calculatedColumnFormula>SUM(q2_raw[[#This Row],[1]:[28]])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8950-F0EA-46CF-929A-E3C415D7F65E}">
  <dimension ref="B2:D15"/>
  <sheetViews>
    <sheetView showGridLines="0" workbookViewId="0">
      <selection activeCell="B4" sqref="B4"/>
    </sheetView>
  </sheetViews>
  <sheetFormatPr defaultRowHeight="14.4" x14ac:dyDescent="0.3"/>
  <cols>
    <col min="2" max="2" width="29.88671875" bestFit="1" customWidth="1"/>
    <col min="3" max="3" width="15.77734375" customWidth="1"/>
    <col min="4" max="4" width="21.77734375" bestFit="1" customWidth="1"/>
    <col min="5" max="5" width="19.88671875" customWidth="1"/>
    <col min="6" max="6" width="13.33203125" bestFit="1" customWidth="1"/>
    <col min="7" max="7" width="10.6640625" bestFit="1" customWidth="1"/>
    <col min="8" max="8" width="1.77734375" customWidth="1"/>
    <col min="9" max="9" width="29.88671875" bestFit="1" customWidth="1"/>
    <col min="11" max="11" width="10.6640625" bestFit="1" customWidth="1"/>
  </cols>
  <sheetData>
    <row r="2" spans="2:4" x14ac:dyDescent="0.3">
      <c r="B2" s="3" t="s">
        <v>372</v>
      </c>
      <c r="C2" s="3"/>
    </row>
    <row r="3" spans="2:4" x14ac:dyDescent="0.3">
      <c r="B3" t="s">
        <v>379</v>
      </c>
      <c r="C3" s="12">
        <v>7952000000</v>
      </c>
    </row>
    <row r="4" spans="2:4" x14ac:dyDescent="0.3">
      <c r="B4" t="s">
        <v>362</v>
      </c>
      <c r="C4" s="10">
        <v>244000000</v>
      </c>
    </row>
    <row r="5" spans="2:4" x14ac:dyDescent="0.3">
      <c r="B5" t="s">
        <v>367</v>
      </c>
      <c r="C5" s="21">
        <v>32.6</v>
      </c>
    </row>
    <row r="6" spans="2:4" x14ac:dyDescent="0.3">
      <c r="B6" t="s">
        <v>368</v>
      </c>
      <c r="C6" s="11">
        <v>7.0000000000000007E-2</v>
      </c>
    </row>
    <row r="7" spans="2:4" x14ac:dyDescent="0.3">
      <c r="B7" t="s">
        <v>369</v>
      </c>
      <c r="C7" s="11">
        <v>0.1</v>
      </c>
    </row>
    <row r="9" spans="2:4" x14ac:dyDescent="0.3">
      <c r="B9" s="3" t="s">
        <v>373</v>
      </c>
      <c r="C9" s="3"/>
    </row>
    <row r="10" spans="2:4" x14ac:dyDescent="0.3">
      <c r="B10" t="s">
        <v>375</v>
      </c>
      <c r="C10" s="8">
        <f>revenue*NUA_percent</f>
        <v>556640000</v>
      </c>
      <c r="D10" t="str">
        <f ca="1">_xlfn.FORMULATEXT(NUA_cost)</f>
        <v>=revenue*NUA_percent</v>
      </c>
    </row>
    <row r="11" spans="2:4" x14ac:dyDescent="0.3">
      <c r="B11" t="s">
        <v>370</v>
      </c>
      <c r="C11" s="9">
        <f>MAU*new_user_percent</f>
        <v>24400000</v>
      </c>
      <c r="D11" t="str">
        <f ca="1">_xlfn.FORMULATEXT(new_users)</f>
        <v>=MAU*new_user_percent</v>
      </c>
    </row>
    <row r="12" spans="2:4" x14ac:dyDescent="0.3">
      <c r="B12" t="s">
        <v>371</v>
      </c>
      <c r="C12" s="22">
        <f>NUA_cost/new_users</f>
        <v>22.813114754098361</v>
      </c>
      <c r="D12" t="str">
        <f ca="1">_xlfn.FORMULATEXT(C12)</f>
        <v>=NUA_cost/new_users</v>
      </c>
    </row>
    <row r="14" spans="2:4" x14ac:dyDescent="0.3">
      <c r="B14" s="3" t="s">
        <v>374</v>
      </c>
    </row>
    <row r="15" spans="2:4" x14ac:dyDescent="0.3">
      <c r="B15" t="s">
        <v>376</v>
      </c>
      <c r="C15" s="22">
        <f>ARPU/CPA</f>
        <v>1.4290025869502732</v>
      </c>
      <c r="D15" t="str">
        <f ca="1">_xlfn.FORMULATEXT(C15)</f>
        <v>=ARPU/CPA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0BFB-94C6-45C2-8121-E57CD6829ECF}">
  <dimension ref="B2:F37"/>
  <sheetViews>
    <sheetView topLeftCell="A4" workbookViewId="0">
      <selection activeCell="D15" sqref="D15"/>
    </sheetView>
  </sheetViews>
  <sheetFormatPr defaultRowHeight="14.4" x14ac:dyDescent="0.3"/>
  <cols>
    <col min="2" max="2" width="11.33203125" bestFit="1" customWidth="1"/>
  </cols>
  <sheetData>
    <row r="2" spans="2:6" x14ac:dyDescent="0.3">
      <c r="B2" t="s">
        <v>30</v>
      </c>
      <c r="C2">
        <v>2017</v>
      </c>
      <c r="D2">
        <v>2018</v>
      </c>
      <c r="E2">
        <v>2017</v>
      </c>
      <c r="F2">
        <v>2018</v>
      </c>
    </row>
    <row r="3" spans="2:6" x14ac:dyDescent="0.3">
      <c r="B3">
        <v>1</v>
      </c>
      <c r="C3">
        <f>COUNTIFS(q2_clean[Active Days],q2_viz!$B3,q2_clean[Year],q2_viz!C$2)</f>
        <v>1</v>
      </c>
      <c r="D3">
        <f>COUNTIFS(q2_clean[Active Days],q2_viz!$B3,q2_clean[Year],q2_viz!D$2)</f>
        <v>0</v>
      </c>
      <c r="E3" s="1">
        <f>C3/SUM(C$3:C$30)</f>
        <v>3.0581039755351682E-3</v>
      </c>
      <c r="F3" s="1">
        <f>D3/SUM(D$3:D$30)</f>
        <v>0</v>
      </c>
    </row>
    <row r="4" spans="2:6" x14ac:dyDescent="0.3">
      <c r="B4">
        <v>2</v>
      </c>
      <c r="C4">
        <f>COUNTIFS(q2_clean[Active Days],q2_viz!$B4,q2_clean[Year],q2_viz!C$2)</f>
        <v>0</v>
      </c>
      <c r="D4">
        <f>COUNTIFS(q2_clean[Active Days],q2_viz!$B4,q2_clean[Year],q2_viz!D$2)</f>
        <v>0</v>
      </c>
      <c r="E4" s="1">
        <f t="shared" ref="E4:E30" si="0">C4/SUM(C$3:C$30)</f>
        <v>0</v>
      </c>
      <c r="F4" s="1">
        <f t="shared" ref="F4:F30" si="1">D4/SUM(D$3:D$30)</f>
        <v>0</v>
      </c>
    </row>
    <row r="5" spans="2:6" x14ac:dyDescent="0.3">
      <c r="B5">
        <v>3</v>
      </c>
      <c r="C5">
        <f>COUNTIFS(q2_clean[Active Days],q2_viz!$B5,q2_clean[Year],q2_viz!C$2)</f>
        <v>4</v>
      </c>
      <c r="D5">
        <f>COUNTIFS(q2_clean[Active Days],q2_viz!$B5,q2_clean[Year],q2_viz!D$2)</f>
        <v>0</v>
      </c>
      <c r="E5" s="1">
        <f t="shared" si="0"/>
        <v>1.2232415902140673E-2</v>
      </c>
      <c r="F5" s="1">
        <f t="shared" si="1"/>
        <v>0</v>
      </c>
    </row>
    <row r="6" spans="2:6" x14ac:dyDescent="0.3">
      <c r="B6">
        <v>4</v>
      </c>
      <c r="C6">
        <f>COUNTIFS(q2_clean[Active Days],q2_viz!$B6,q2_clean[Year],q2_viz!C$2)</f>
        <v>11</v>
      </c>
      <c r="D6">
        <f>COUNTIFS(q2_clean[Active Days],q2_viz!$B6,q2_clean[Year],q2_viz!D$2)</f>
        <v>0</v>
      </c>
      <c r="E6" s="1">
        <f t="shared" si="0"/>
        <v>3.3639143730886847E-2</v>
      </c>
      <c r="F6" s="1">
        <f t="shared" si="1"/>
        <v>0</v>
      </c>
    </row>
    <row r="7" spans="2:6" x14ac:dyDescent="0.3">
      <c r="B7">
        <v>5</v>
      </c>
      <c r="C7">
        <f>COUNTIFS(q2_clean[Active Days],q2_viz!$B7,q2_clean[Year],q2_viz!C$2)</f>
        <v>21</v>
      </c>
      <c r="D7">
        <f>COUNTIFS(q2_clean[Active Days],q2_viz!$B7,q2_clean[Year],q2_viz!D$2)</f>
        <v>0</v>
      </c>
      <c r="E7" s="1">
        <f t="shared" si="0"/>
        <v>6.4220183486238536E-2</v>
      </c>
      <c r="F7" s="1">
        <f t="shared" si="1"/>
        <v>0</v>
      </c>
    </row>
    <row r="8" spans="2:6" x14ac:dyDescent="0.3">
      <c r="B8">
        <v>6</v>
      </c>
      <c r="C8">
        <f>COUNTIFS(q2_clean[Active Days],q2_viz!$B8,q2_clean[Year],q2_viz!C$2)</f>
        <v>48</v>
      </c>
      <c r="D8">
        <f>COUNTIFS(q2_clean[Active Days],q2_viz!$B8,q2_clean[Year],q2_viz!D$2)</f>
        <v>3</v>
      </c>
      <c r="E8" s="1">
        <f t="shared" si="0"/>
        <v>0.14678899082568808</v>
      </c>
      <c r="F8" s="1">
        <f t="shared" si="1"/>
        <v>9.1743119266055051E-3</v>
      </c>
    </row>
    <row r="9" spans="2:6" x14ac:dyDescent="0.3">
      <c r="B9">
        <v>7</v>
      </c>
      <c r="C9">
        <f>COUNTIFS(q2_clean[Active Days],q2_viz!$B9,q2_clean[Year],q2_viz!C$2)</f>
        <v>49</v>
      </c>
      <c r="D9">
        <f>COUNTIFS(q2_clean[Active Days],q2_viz!$B9,q2_clean[Year],q2_viz!D$2)</f>
        <v>6</v>
      </c>
      <c r="E9" s="1">
        <f t="shared" si="0"/>
        <v>0.14984709480122324</v>
      </c>
      <c r="F9" s="1">
        <f t="shared" si="1"/>
        <v>1.834862385321101E-2</v>
      </c>
    </row>
    <row r="10" spans="2:6" x14ac:dyDescent="0.3">
      <c r="B10">
        <v>8</v>
      </c>
      <c r="C10">
        <f>COUNTIFS(q2_clean[Active Days],q2_viz!$B10,q2_clean[Year],q2_viz!C$2)</f>
        <v>44</v>
      </c>
      <c r="D10">
        <f>COUNTIFS(q2_clean[Active Days],q2_viz!$B10,q2_clean[Year],q2_viz!D$2)</f>
        <v>22</v>
      </c>
      <c r="E10" s="1">
        <f t="shared" si="0"/>
        <v>0.13455657492354739</v>
      </c>
      <c r="F10" s="1">
        <f t="shared" si="1"/>
        <v>6.7278287461773695E-2</v>
      </c>
    </row>
    <row r="11" spans="2:6" x14ac:dyDescent="0.3">
      <c r="B11">
        <v>9</v>
      </c>
      <c r="C11" s="6">
        <f>COUNTIFS(q2_clean[Active Days],q2_viz!$B11,q2_clean[Year],q2_viz!C$2)</f>
        <v>58</v>
      </c>
      <c r="D11">
        <f>COUNTIFS(q2_clean[Active Days],q2_viz!$B11,q2_clean[Year],q2_viz!D$2)</f>
        <v>23</v>
      </c>
      <c r="E11" s="1">
        <f t="shared" si="0"/>
        <v>0.17737003058103976</v>
      </c>
      <c r="F11" s="1">
        <f t="shared" si="1"/>
        <v>7.0336391437308868E-2</v>
      </c>
    </row>
    <row r="12" spans="2:6" x14ac:dyDescent="0.3">
      <c r="B12">
        <v>10</v>
      </c>
      <c r="C12">
        <f>COUNTIFS(q2_clean[Active Days],q2_viz!$B12,q2_clean[Year],q2_viz!C$2)</f>
        <v>34</v>
      </c>
      <c r="D12">
        <f>COUNTIFS(q2_clean[Active Days],q2_viz!$B12,q2_clean[Year],q2_viz!D$2)</f>
        <v>27</v>
      </c>
      <c r="E12" s="1">
        <f t="shared" si="0"/>
        <v>0.10397553516819572</v>
      </c>
      <c r="F12" s="1">
        <f t="shared" si="1"/>
        <v>8.2568807339449546E-2</v>
      </c>
    </row>
    <row r="13" spans="2:6" x14ac:dyDescent="0.3">
      <c r="B13">
        <v>11</v>
      </c>
      <c r="C13">
        <f>COUNTIFS(q2_clean[Active Days],q2_viz!$B13,q2_clean[Year],q2_viz!C$2)</f>
        <v>30</v>
      </c>
      <c r="D13">
        <f>COUNTIFS(q2_clean[Active Days],q2_viz!$B13,q2_clean[Year],q2_viz!D$2)</f>
        <v>39</v>
      </c>
      <c r="E13" s="1">
        <f t="shared" si="0"/>
        <v>9.1743119266055051E-2</v>
      </c>
      <c r="F13" s="1">
        <f t="shared" si="1"/>
        <v>0.11926605504587157</v>
      </c>
    </row>
    <row r="14" spans="2:6" x14ac:dyDescent="0.3">
      <c r="B14">
        <v>12</v>
      </c>
      <c r="C14">
        <f>COUNTIFS(q2_clean[Active Days],q2_viz!$B14,q2_clean[Year],q2_viz!C$2)</f>
        <v>13</v>
      </c>
      <c r="D14">
        <f>COUNTIFS(q2_clean[Active Days],q2_viz!$B14,q2_clean[Year],q2_viz!D$2)</f>
        <v>43</v>
      </c>
      <c r="E14" s="1">
        <f t="shared" si="0"/>
        <v>3.9755351681957186E-2</v>
      </c>
      <c r="F14" s="1">
        <f t="shared" si="1"/>
        <v>0.13149847094801223</v>
      </c>
    </row>
    <row r="15" spans="2:6" x14ac:dyDescent="0.3">
      <c r="B15">
        <v>13</v>
      </c>
      <c r="C15">
        <f>COUNTIFS(q2_clean[Active Days],q2_viz!$B15,q2_clean[Year],q2_viz!C$2)</f>
        <v>7</v>
      </c>
      <c r="D15" s="6">
        <f>COUNTIFS(q2_clean[Active Days],q2_viz!$B15,q2_clean[Year],q2_viz!D$2)</f>
        <v>46</v>
      </c>
      <c r="E15" s="1">
        <f t="shared" si="0"/>
        <v>2.1406727828746176E-2</v>
      </c>
      <c r="F15" s="1">
        <f t="shared" si="1"/>
        <v>0.14067278287461774</v>
      </c>
    </row>
    <row r="16" spans="2:6" x14ac:dyDescent="0.3">
      <c r="B16">
        <v>14</v>
      </c>
      <c r="C16">
        <f>COUNTIFS(q2_clean[Active Days],q2_viz!$B16,q2_clean[Year],q2_viz!C$2)</f>
        <v>5</v>
      </c>
      <c r="D16">
        <f>COUNTIFS(q2_clean[Active Days],q2_viz!$B16,q2_clean[Year],q2_viz!D$2)</f>
        <v>36</v>
      </c>
      <c r="E16" s="1">
        <f t="shared" si="0"/>
        <v>1.5290519877675841E-2</v>
      </c>
      <c r="F16" s="1">
        <f t="shared" si="1"/>
        <v>0.11009174311926606</v>
      </c>
    </row>
    <row r="17" spans="2:6" x14ac:dyDescent="0.3">
      <c r="B17">
        <v>15</v>
      </c>
      <c r="C17">
        <f>COUNTIFS(q2_clean[Active Days],q2_viz!$B17,q2_clean[Year],q2_viz!C$2)</f>
        <v>2</v>
      </c>
      <c r="D17">
        <f>COUNTIFS(q2_clean[Active Days],q2_viz!$B17,q2_clean[Year],q2_viz!D$2)</f>
        <v>38</v>
      </c>
      <c r="E17" s="1">
        <f t="shared" si="0"/>
        <v>6.1162079510703364E-3</v>
      </c>
      <c r="F17" s="1">
        <f t="shared" si="1"/>
        <v>0.11620795107033639</v>
      </c>
    </row>
    <row r="18" spans="2:6" x14ac:dyDescent="0.3">
      <c r="B18">
        <v>16</v>
      </c>
      <c r="C18">
        <f>COUNTIFS(q2_clean[Active Days],q2_viz!$B18,q2_clean[Year],q2_viz!C$2)</f>
        <v>0</v>
      </c>
      <c r="D18">
        <f>COUNTIFS(q2_clean[Active Days],q2_viz!$B18,q2_clean[Year],q2_viz!D$2)</f>
        <v>24</v>
      </c>
      <c r="E18" s="1">
        <f t="shared" si="0"/>
        <v>0</v>
      </c>
      <c r="F18" s="1">
        <f t="shared" si="1"/>
        <v>7.3394495412844041E-2</v>
      </c>
    </row>
    <row r="19" spans="2:6" x14ac:dyDescent="0.3">
      <c r="B19">
        <v>17</v>
      </c>
      <c r="C19">
        <f>COUNTIFS(q2_clean[Active Days],q2_viz!$B19,q2_clean[Year],q2_viz!C$2)</f>
        <v>0</v>
      </c>
      <c r="D19">
        <f>COUNTIFS(q2_clean[Active Days],q2_viz!$B19,q2_clean[Year],q2_viz!D$2)</f>
        <v>13</v>
      </c>
      <c r="E19" s="1">
        <f t="shared" si="0"/>
        <v>0</v>
      </c>
      <c r="F19" s="1">
        <f t="shared" si="1"/>
        <v>3.9755351681957186E-2</v>
      </c>
    </row>
    <row r="20" spans="2:6" x14ac:dyDescent="0.3">
      <c r="B20">
        <v>18</v>
      </c>
      <c r="C20">
        <f>COUNTIFS(q2_clean[Active Days],q2_viz!$B20,q2_clean[Year],q2_viz!C$2)</f>
        <v>0</v>
      </c>
      <c r="D20">
        <f>COUNTIFS(q2_clean[Active Days],q2_viz!$B20,q2_clean[Year],q2_viz!D$2)</f>
        <v>2</v>
      </c>
      <c r="E20" s="1">
        <f t="shared" si="0"/>
        <v>0</v>
      </c>
      <c r="F20" s="1">
        <f t="shared" si="1"/>
        <v>6.1162079510703364E-3</v>
      </c>
    </row>
    <row r="21" spans="2:6" x14ac:dyDescent="0.3">
      <c r="B21">
        <v>19</v>
      </c>
      <c r="C21">
        <f>COUNTIFS(q2_clean[Active Days],q2_viz!$B21,q2_clean[Year],q2_viz!C$2)</f>
        <v>0</v>
      </c>
      <c r="D21">
        <f>COUNTIFS(q2_clean[Active Days],q2_viz!$B21,q2_clean[Year],q2_viz!D$2)</f>
        <v>3</v>
      </c>
      <c r="E21" s="1">
        <f t="shared" si="0"/>
        <v>0</v>
      </c>
      <c r="F21" s="1">
        <f t="shared" si="1"/>
        <v>9.1743119266055051E-3</v>
      </c>
    </row>
    <row r="22" spans="2:6" x14ac:dyDescent="0.3">
      <c r="B22">
        <v>20</v>
      </c>
      <c r="C22">
        <f>COUNTIFS(q2_clean[Active Days],q2_viz!$B22,q2_clean[Year],q2_viz!C$2)</f>
        <v>0</v>
      </c>
      <c r="D22">
        <f>COUNTIFS(q2_clean[Active Days],q2_viz!$B22,q2_clean[Year],q2_viz!D$2)</f>
        <v>1</v>
      </c>
      <c r="E22" s="1">
        <f t="shared" si="0"/>
        <v>0</v>
      </c>
      <c r="F22" s="1">
        <f t="shared" si="1"/>
        <v>3.0581039755351682E-3</v>
      </c>
    </row>
    <row r="23" spans="2:6" x14ac:dyDescent="0.3">
      <c r="B23">
        <v>21</v>
      </c>
      <c r="C23">
        <f>COUNTIFS(q2_clean[Active Days],q2_viz!$B23,q2_clean[Year],q2_viz!C$2)</f>
        <v>0</v>
      </c>
      <c r="D23">
        <f>COUNTIFS(q2_clean[Active Days],q2_viz!$B23,q2_clean[Year],q2_viz!D$2)</f>
        <v>0</v>
      </c>
      <c r="E23" s="1">
        <f t="shared" si="0"/>
        <v>0</v>
      </c>
      <c r="F23" s="1">
        <f t="shared" si="1"/>
        <v>0</v>
      </c>
    </row>
    <row r="24" spans="2:6" x14ac:dyDescent="0.3">
      <c r="B24">
        <v>22</v>
      </c>
      <c r="C24">
        <f>COUNTIFS(q2_clean[Active Days],q2_viz!$B24,q2_clean[Year],q2_viz!C$2)</f>
        <v>0</v>
      </c>
      <c r="D24">
        <f>COUNTIFS(q2_clean[Active Days],q2_viz!$B24,q2_clean[Year],q2_viz!D$2)</f>
        <v>1</v>
      </c>
      <c r="E24" s="1">
        <f t="shared" si="0"/>
        <v>0</v>
      </c>
      <c r="F24" s="1">
        <f t="shared" si="1"/>
        <v>3.0581039755351682E-3</v>
      </c>
    </row>
    <row r="25" spans="2:6" x14ac:dyDescent="0.3">
      <c r="B25">
        <v>23</v>
      </c>
      <c r="C25">
        <f>COUNTIFS(q2_clean[Active Days],q2_viz!$B25,q2_clean[Year],q2_viz!C$2)</f>
        <v>0</v>
      </c>
      <c r="D25">
        <f>COUNTIFS(q2_clean[Active Days],q2_viz!$B25,q2_clean[Year],q2_viz!D$2)</f>
        <v>0</v>
      </c>
      <c r="E25" s="1">
        <f t="shared" si="0"/>
        <v>0</v>
      </c>
      <c r="F25" s="1">
        <f t="shared" si="1"/>
        <v>0</v>
      </c>
    </row>
    <row r="26" spans="2:6" x14ac:dyDescent="0.3">
      <c r="B26">
        <v>24</v>
      </c>
      <c r="C26">
        <f>COUNTIFS(q2_clean[Active Days],q2_viz!$B26,q2_clean[Year],q2_viz!C$2)</f>
        <v>0</v>
      </c>
      <c r="D26">
        <f>COUNTIFS(q2_clean[Active Days],q2_viz!$B26,q2_clean[Year],q2_viz!D$2)</f>
        <v>0</v>
      </c>
      <c r="E26" s="1">
        <f t="shared" si="0"/>
        <v>0</v>
      </c>
      <c r="F26" s="1">
        <f t="shared" si="1"/>
        <v>0</v>
      </c>
    </row>
    <row r="27" spans="2:6" x14ac:dyDescent="0.3">
      <c r="B27">
        <v>25</v>
      </c>
      <c r="C27">
        <f>COUNTIFS(q2_clean[Active Days],q2_viz!$B27,q2_clean[Year],q2_viz!C$2)</f>
        <v>0</v>
      </c>
      <c r="D27">
        <f>COUNTIFS(q2_clean[Active Days],q2_viz!$B27,q2_clean[Year],q2_viz!D$2)</f>
        <v>0</v>
      </c>
      <c r="E27" s="1">
        <f t="shared" si="0"/>
        <v>0</v>
      </c>
      <c r="F27" s="1">
        <f t="shared" si="1"/>
        <v>0</v>
      </c>
    </row>
    <row r="28" spans="2:6" x14ac:dyDescent="0.3">
      <c r="B28">
        <v>26</v>
      </c>
      <c r="C28">
        <f>COUNTIFS(q2_clean[Active Days],q2_viz!$B28,q2_clean[Year],q2_viz!C$2)</f>
        <v>0</v>
      </c>
      <c r="D28">
        <f>COUNTIFS(q2_clean[Active Days],q2_viz!$B28,q2_clean[Year],q2_viz!D$2)</f>
        <v>0</v>
      </c>
      <c r="E28" s="1">
        <f t="shared" si="0"/>
        <v>0</v>
      </c>
      <c r="F28" s="1">
        <f t="shared" si="1"/>
        <v>0</v>
      </c>
    </row>
    <row r="29" spans="2:6" x14ac:dyDescent="0.3">
      <c r="B29">
        <v>27</v>
      </c>
      <c r="C29">
        <f>COUNTIFS(q2_clean[Active Days],q2_viz!$B29,q2_clean[Year],q2_viz!C$2)</f>
        <v>0</v>
      </c>
      <c r="D29">
        <f>COUNTIFS(q2_clean[Active Days],q2_viz!$B29,q2_clean[Year],q2_viz!D$2)</f>
        <v>0</v>
      </c>
      <c r="E29" s="1">
        <f t="shared" si="0"/>
        <v>0</v>
      </c>
      <c r="F29" s="1">
        <f t="shared" si="1"/>
        <v>0</v>
      </c>
    </row>
    <row r="30" spans="2:6" x14ac:dyDescent="0.3">
      <c r="B30">
        <v>28</v>
      </c>
      <c r="C30">
        <f>COUNTIFS(q2_clean[Active Days],q2_viz!$B30,q2_clean[Year],q2_viz!C$2)</f>
        <v>0</v>
      </c>
      <c r="D30">
        <f>COUNTIFS(q2_clean[Active Days],q2_viz!$B30,q2_clean[Year],q2_viz!D$2)</f>
        <v>0</v>
      </c>
      <c r="E30" s="1">
        <f t="shared" si="0"/>
        <v>0</v>
      </c>
      <c r="F30" s="1">
        <f t="shared" si="1"/>
        <v>0</v>
      </c>
    </row>
    <row r="32" spans="2:6" x14ac:dyDescent="0.3">
      <c r="C32" s="4">
        <v>2017</v>
      </c>
      <c r="D32" s="4">
        <v>2018</v>
      </c>
    </row>
    <row r="33" spans="2:4" x14ac:dyDescent="0.3">
      <c r="B33" t="s">
        <v>365</v>
      </c>
      <c r="C33" s="2">
        <f>SUMIFS(q2_clean[Active Days],q2_clean[Year],q2_viz!C2)/28</f>
        <v>95.857142857142861</v>
      </c>
      <c r="D33" s="2">
        <f>SUMIFS(q2_clean[Active Days],q2_clean[Year],q2_viz!D2)/28</f>
        <v>145.35714285714286</v>
      </c>
    </row>
    <row r="34" spans="2:4" x14ac:dyDescent="0.3">
      <c r="B34" t="s">
        <v>362</v>
      </c>
      <c r="C34">
        <f>SUM(C3:C30)</f>
        <v>327</v>
      </c>
      <c r="D34">
        <f>SUM(D3:D30)</f>
        <v>327</v>
      </c>
    </row>
    <row r="35" spans="2:4" x14ac:dyDescent="0.3">
      <c r="B35" s="3" t="s">
        <v>363</v>
      </c>
      <c r="C35" s="5">
        <f>C33/C34</f>
        <v>0.29314110965487111</v>
      </c>
      <c r="D35" s="5">
        <f>D33/D34</f>
        <v>0.44451725644386197</v>
      </c>
    </row>
    <row r="37" spans="2:4" x14ac:dyDescent="0.3">
      <c r="C37">
        <f>MAX(C3:C30)</f>
        <v>58</v>
      </c>
      <c r="D37">
        <f>MAX(D3:D30)</f>
        <v>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471B-350E-4463-86E8-B5C5F53348CF}">
  <dimension ref="A1:C655"/>
  <sheetViews>
    <sheetView topLeftCell="A22" workbookViewId="0">
      <selection activeCell="B15" sqref="B14:B15"/>
    </sheetView>
  </sheetViews>
  <sheetFormatPr defaultRowHeight="14.4" x14ac:dyDescent="0.3"/>
  <cols>
    <col min="1" max="1" width="13.44140625" bestFit="1" customWidth="1"/>
    <col min="2" max="2" width="6.88671875" customWidth="1"/>
    <col min="3" max="3" width="12.77734375" bestFit="1" customWidth="1"/>
    <col min="4" max="4" width="6.33203125" bestFit="1" customWidth="1"/>
    <col min="5" max="5" width="8.44140625" bestFit="1" customWidth="1"/>
    <col min="6" max="6" width="8.109375" bestFit="1" customWidth="1"/>
    <col min="7" max="7" width="8.44140625" bestFit="1" customWidth="1"/>
  </cols>
  <sheetData>
    <row r="1" spans="1:3" x14ac:dyDescent="0.3">
      <c r="A1" t="s">
        <v>0</v>
      </c>
      <c r="B1" t="s">
        <v>1</v>
      </c>
      <c r="C1" t="s">
        <v>360</v>
      </c>
    </row>
    <row r="2" spans="1:3" x14ac:dyDescent="0.3">
      <c r="A2" t="s">
        <v>245</v>
      </c>
      <c r="B2" t="s">
        <v>32</v>
      </c>
      <c r="C2">
        <v>1</v>
      </c>
    </row>
    <row r="3" spans="1:3" x14ac:dyDescent="0.3">
      <c r="A3" t="s">
        <v>37</v>
      </c>
      <c r="B3" t="s">
        <v>32</v>
      </c>
      <c r="C3">
        <v>3</v>
      </c>
    </row>
    <row r="4" spans="1:3" x14ac:dyDescent="0.3">
      <c r="A4" t="s">
        <v>63</v>
      </c>
      <c r="B4" t="s">
        <v>32</v>
      </c>
      <c r="C4">
        <v>3</v>
      </c>
    </row>
    <row r="5" spans="1:3" x14ac:dyDescent="0.3">
      <c r="A5" t="s">
        <v>194</v>
      </c>
      <c r="B5" t="s">
        <v>32</v>
      </c>
      <c r="C5">
        <v>3</v>
      </c>
    </row>
    <row r="6" spans="1:3" x14ac:dyDescent="0.3">
      <c r="A6" t="s">
        <v>269</v>
      </c>
      <c r="B6" t="s">
        <v>32</v>
      </c>
      <c r="C6">
        <v>3</v>
      </c>
    </row>
    <row r="7" spans="1:3" x14ac:dyDescent="0.3">
      <c r="A7" t="s">
        <v>48</v>
      </c>
      <c r="B7" t="s">
        <v>32</v>
      </c>
      <c r="C7">
        <v>4</v>
      </c>
    </row>
    <row r="8" spans="1:3" x14ac:dyDescent="0.3">
      <c r="A8" t="s">
        <v>65</v>
      </c>
      <c r="B8" t="s">
        <v>32</v>
      </c>
      <c r="C8">
        <v>4</v>
      </c>
    </row>
    <row r="9" spans="1:3" x14ac:dyDescent="0.3">
      <c r="A9" t="s">
        <v>88</v>
      </c>
      <c r="B9" t="s">
        <v>32</v>
      </c>
      <c r="C9">
        <v>4</v>
      </c>
    </row>
    <row r="10" spans="1:3" x14ac:dyDescent="0.3">
      <c r="A10" t="s">
        <v>113</v>
      </c>
      <c r="B10" t="s">
        <v>32</v>
      </c>
      <c r="C10">
        <v>4</v>
      </c>
    </row>
    <row r="11" spans="1:3" x14ac:dyDescent="0.3">
      <c r="A11" t="s">
        <v>151</v>
      </c>
      <c r="B11" t="s">
        <v>32</v>
      </c>
      <c r="C11">
        <v>4</v>
      </c>
    </row>
    <row r="12" spans="1:3" x14ac:dyDescent="0.3">
      <c r="A12" t="s">
        <v>169</v>
      </c>
      <c r="B12" t="s">
        <v>32</v>
      </c>
      <c r="C12">
        <v>4</v>
      </c>
    </row>
    <row r="13" spans="1:3" x14ac:dyDescent="0.3">
      <c r="A13" t="s">
        <v>171</v>
      </c>
      <c r="B13" t="s">
        <v>32</v>
      </c>
      <c r="C13">
        <v>4</v>
      </c>
    </row>
    <row r="14" spans="1:3" x14ac:dyDescent="0.3">
      <c r="A14" t="s">
        <v>179</v>
      </c>
      <c r="B14" t="s">
        <v>32</v>
      </c>
      <c r="C14">
        <v>4</v>
      </c>
    </row>
    <row r="15" spans="1:3" x14ac:dyDescent="0.3">
      <c r="A15" t="s">
        <v>223</v>
      </c>
      <c r="B15" t="s">
        <v>32</v>
      </c>
      <c r="C15">
        <v>4</v>
      </c>
    </row>
    <row r="16" spans="1:3" x14ac:dyDescent="0.3">
      <c r="A16" t="s">
        <v>237</v>
      </c>
      <c r="B16" t="s">
        <v>32</v>
      </c>
      <c r="C16">
        <v>4</v>
      </c>
    </row>
    <row r="17" spans="1:3" x14ac:dyDescent="0.3">
      <c r="A17" t="s">
        <v>302</v>
      </c>
      <c r="B17" t="s">
        <v>32</v>
      </c>
      <c r="C17">
        <v>4</v>
      </c>
    </row>
    <row r="18" spans="1:3" x14ac:dyDescent="0.3">
      <c r="A18" t="s">
        <v>43</v>
      </c>
      <c r="B18" t="s">
        <v>32</v>
      </c>
      <c r="C18">
        <v>5</v>
      </c>
    </row>
    <row r="19" spans="1:3" x14ac:dyDescent="0.3">
      <c r="A19" t="s">
        <v>47</v>
      </c>
      <c r="B19" t="s">
        <v>32</v>
      </c>
      <c r="C19">
        <v>5</v>
      </c>
    </row>
    <row r="20" spans="1:3" x14ac:dyDescent="0.3">
      <c r="A20" t="s">
        <v>53</v>
      </c>
      <c r="B20" t="s">
        <v>32</v>
      </c>
      <c r="C20">
        <v>5</v>
      </c>
    </row>
    <row r="21" spans="1:3" x14ac:dyDescent="0.3">
      <c r="A21" t="s">
        <v>59</v>
      </c>
      <c r="B21" t="s">
        <v>32</v>
      </c>
      <c r="C21">
        <v>5</v>
      </c>
    </row>
    <row r="22" spans="1:3" x14ac:dyDescent="0.3">
      <c r="A22" t="s">
        <v>109</v>
      </c>
      <c r="B22" t="s">
        <v>32</v>
      </c>
      <c r="C22">
        <v>5</v>
      </c>
    </row>
    <row r="23" spans="1:3" x14ac:dyDescent="0.3">
      <c r="A23" t="s">
        <v>135</v>
      </c>
      <c r="B23" t="s">
        <v>32</v>
      </c>
      <c r="C23">
        <v>5</v>
      </c>
    </row>
    <row r="24" spans="1:3" x14ac:dyDescent="0.3">
      <c r="A24" t="s">
        <v>140</v>
      </c>
      <c r="B24" t="s">
        <v>32</v>
      </c>
      <c r="C24">
        <v>5</v>
      </c>
    </row>
    <row r="25" spans="1:3" x14ac:dyDescent="0.3">
      <c r="A25" t="s">
        <v>148</v>
      </c>
      <c r="B25" t="s">
        <v>32</v>
      </c>
      <c r="C25">
        <v>5</v>
      </c>
    </row>
    <row r="26" spans="1:3" x14ac:dyDescent="0.3">
      <c r="A26" t="s">
        <v>167</v>
      </c>
      <c r="B26" t="s">
        <v>32</v>
      </c>
      <c r="C26">
        <v>5</v>
      </c>
    </row>
    <row r="27" spans="1:3" x14ac:dyDescent="0.3">
      <c r="A27" t="s">
        <v>189</v>
      </c>
      <c r="B27" t="s">
        <v>32</v>
      </c>
      <c r="C27">
        <v>5</v>
      </c>
    </row>
    <row r="28" spans="1:3" x14ac:dyDescent="0.3">
      <c r="A28" t="s">
        <v>191</v>
      </c>
      <c r="B28" t="s">
        <v>32</v>
      </c>
      <c r="C28">
        <v>5</v>
      </c>
    </row>
    <row r="29" spans="1:3" x14ac:dyDescent="0.3">
      <c r="A29" t="s">
        <v>261</v>
      </c>
      <c r="B29" t="s">
        <v>32</v>
      </c>
      <c r="C29">
        <v>5</v>
      </c>
    </row>
    <row r="30" spans="1:3" x14ac:dyDescent="0.3">
      <c r="A30" t="s">
        <v>274</v>
      </c>
      <c r="B30" t="s">
        <v>32</v>
      </c>
      <c r="C30">
        <v>5</v>
      </c>
    </row>
    <row r="31" spans="1:3" x14ac:dyDescent="0.3">
      <c r="A31" t="s">
        <v>276</v>
      </c>
      <c r="B31" t="s">
        <v>32</v>
      </c>
      <c r="C31">
        <v>5</v>
      </c>
    </row>
    <row r="32" spans="1:3" x14ac:dyDescent="0.3">
      <c r="A32" t="s">
        <v>280</v>
      </c>
      <c r="B32" t="s">
        <v>32</v>
      </c>
      <c r="C32">
        <v>5</v>
      </c>
    </row>
    <row r="33" spans="1:3" x14ac:dyDescent="0.3">
      <c r="A33" t="s">
        <v>301</v>
      </c>
      <c r="B33" t="s">
        <v>32</v>
      </c>
      <c r="C33">
        <v>5</v>
      </c>
    </row>
    <row r="34" spans="1:3" x14ac:dyDescent="0.3">
      <c r="A34" t="s">
        <v>312</v>
      </c>
      <c r="B34" t="s">
        <v>32</v>
      </c>
      <c r="C34">
        <v>5</v>
      </c>
    </row>
    <row r="35" spans="1:3" x14ac:dyDescent="0.3">
      <c r="A35" t="s">
        <v>327</v>
      </c>
      <c r="B35" t="s">
        <v>32</v>
      </c>
      <c r="C35">
        <v>5</v>
      </c>
    </row>
    <row r="36" spans="1:3" x14ac:dyDescent="0.3">
      <c r="A36" t="s">
        <v>332</v>
      </c>
      <c r="B36" t="s">
        <v>32</v>
      </c>
      <c r="C36">
        <v>5</v>
      </c>
    </row>
    <row r="37" spans="1:3" x14ac:dyDescent="0.3">
      <c r="A37" t="s">
        <v>339</v>
      </c>
      <c r="B37" t="s">
        <v>32</v>
      </c>
      <c r="C37">
        <v>5</v>
      </c>
    </row>
    <row r="38" spans="1:3" x14ac:dyDescent="0.3">
      <c r="A38" t="s">
        <v>347</v>
      </c>
      <c r="B38" t="s">
        <v>32</v>
      </c>
      <c r="C38">
        <v>5</v>
      </c>
    </row>
    <row r="39" spans="1:3" x14ac:dyDescent="0.3">
      <c r="A39" t="s">
        <v>33</v>
      </c>
      <c r="B39" t="s">
        <v>32</v>
      </c>
      <c r="C39">
        <v>6</v>
      </c>
    </row>
    <row r="40" spans="1:3" x14ac:dyDescent="0.3">
      <c r="A40" t="s">
        <v>35</v>
      </c>
      <c r="B40" t="s">
        <v>32</v>
      </c>
      <c r="C40">
        <v>6</v>
      </c>
    </row>
    <row r="41" spans="1:3" x14ac:dyDescent="0.3">
      <c r="A41" t="s">
        <v>42</v>
      </c>
      <c r="B41" t="s">
        <v>32</v>
      </c>
      <c r="C41">
        <v>6</v>
      </c>
    </row>
    <row r="42" spans="1:3" x14ac:dyDescent="0.3">
      <c r="A42" t="s">
        <v>46</v>
      </c>
      <c r="B42" t="s">
        <v>32</v>
      </c>
      <c r="C42">
        <v>6</v>
      </c>
    </row>
    <row r="43" spans="1:3" x14ac:dyDescent="0.3">
      <c r="A43" t="s">
        <v>61</v>
      </c>
      <c r="B43" t="s">
        <v>32</v>
      </c>
      <c r="C43">
        <v>6</v>
      </c>
    </row>
    <row r="44" spans="1:3" x14ac:dyDescent="0.3">
      <c r="A44" t="s">
        <v>64</v>
      </c>
      <c r="B44" t="s">
        <v>32</v>
      </c>
      <c r="C44">
        <v>6</v>
      </c>
    </row>
    <row r="45" spans="1:3" x14ac:dyDescent="0.3">
      <c r="A45" t="s">
        <v>69</v>
      </c>
      <c r="B45" t="s">
        <v>32</v>
      </c>
      <c r="C45">
        <v>6</v>
      </c>
    </row>
    <row r="46" spans="1:3" x14ac:dyDescent="0.3">
      <c r="A46" t="s">
        <v>73</v>
      </c>
      <c r="B46" t="s">
        <v>32</v>
      </c>
      <c r="C46">
        <v>6</v>
      </c>
    </row>
    <row r="47" spans="1:3" x14ac:dyDescent="0.3">
      <c r="A47" t="s">
        <v>77</v>
      </c>
      <c r="B47" t="s">
        <v>32</v>
      </c>
      <c r="C47">
        <v>6</v>
      </c>
    </row>
    <row r="48" spans="1:3" x14ac:dyDescent="0.3">
      <c r="A48" t="s">
        <v>79</v>
      </c>
      <c r="B48" t="s">
        <v>32</v>
      </c>
      <c r="C48">
        <v>6</v>
      </c>
    </row>
    <row r="49" spans="1:3" x14ac:dyDescent="0.3">
      <c r="A49" t="s">
        <v>80</v>
      </c>
      <c r="B49" t="s">
        <v>32</v>
      </c>
      <c r="C49">
        <v>6</v>
      </c>
    </row>
    <row r="50" spans="1:3" x14ac:dyDescent="0.3">
      <c r="A50" t="s">
        <v>87</v>
      </c>
      <c r="B50" t="s">
        <v>32</v>
      </c>
      <c r="C50">
        <v>6</v>
      </c>
    </row>
    <row r="51" spans="1:3" x14ac:dyDescent="0.3">
      <c r="A51" t="s">
        <v>96</v>
      </c>
      <c r="B51" t="s">
        <v>32</v>
      </c>
      <c r="C51">
        <v>6</v>
      </c>
    </row>
    <row r="52" spans="1:3" x14ac:dyDescent="0.3">
      <c r="A52" t="s">
        <v>99</v>
      </c>
      <c r="B52" t="s">
        <v>32</v>
      </c>
      <c r="C52">
        <v>6</v>
      </c>
    </row>
    <row r="53" spans="1:3" x14ac:dyDescent="0.3">
      <c r="A53" t="s">
        <v>100</v>
      </c>
      <c r="B53" t="s">
        <v>32</v>
      </c>
      <c r="C53">
        <v>6</v>
      </c>
    </row>
    <row r="54" spans="1:3" x14ac:dyDescent="0.3">
      <c r="A54" t="s">
        <v>102</v>
      </c>
      <c r="B54" t="s">
        <v>32</v>
      </c>
      <c r="C54">
        <v>6</v>
      </c>
    </row>
    <row r="55" spans="1:3" x14ac:dyDescent="0.3">
      <c r="A55" t="s">
        <v>106</v>
      </c>
      <c r="B55" t="s">
        <v>32</v>
      </c>
      <c r="C55">
        <v>6</v>
      </c>
    </row>
    <row r="56" spans="1:3" x14ac:dyDescent="0.3">
      <c r="A56" t="s">
        <v>108</v>
      </c>
      <c r="B56" t="s">
        <v>32</v>
      </c>
      <c r="C56">
        <v>6</v>
      </c>
    </row>
    <row r="57" spans="1:3" x14ac:dyDescent="0.3">
      <c r="A57" t="s">
        <v>159</v>
      </c>
      <c r="B57" t="s">
        <v>32</v>
      </c>
      <c r="C57">
        <v>6</v>
      </c>
    </row>
    <row r="58" spans="1:3" x14ac:dyDescent="0.3">
      <c r="A58" t="s">
        <v>160</v>
      </c>
      <c r="B58" t="s">
        <v>32</v>
      </c>
      <c r="C58">
        <v>6</v>
      </c>
    </row>
    <row r="59" spans="1:3" x14ac:dyDescent="0.3">
      <c r="A59" t="s">
        <v>164</v>
      </c>
      <c r="B59" t="s">
        <v>32</v>
      </c>
      <c r="C59">
        <v>6</v>
      </c>
    </row>
    <row r="60" spans="1:3" x14ac:dyDescent="0.3">
      <c r="A60" t="s">
        <v>173</v>
      </c>
      <c r="B60" t="s">
        <v>32</v>
      </c>
      <c r="C60">
        <v>6</v>
      </c>
    </row>
    <row r="61" spans="1:3" x14ac:dyDescent="0.3">
      <c r="A61" t="s">
        <v>180</v>
      </c>
      <c r="B61" t="s">
        <v>32</v>
      </c>
      <c r="C61">
        <v>6</v>
      </c>
    </row>
    <row r="62" spans="1:3" x14ac:dyDescent="0.3">
      <c r="A62" t="s">
        <v>185</v>
      </c>
      <c r="B62" t="s">
        <v>32</v>
      </c>
      <c r="C62">
        <v>6</v>
      </c>
    </row>
    <row r="63" spans="1:3" x14ac:dyDescent="0.3">
      <c r="A63" t="s">
        <v>204</v>
      </c>
      <c r="B63" t="s">
        <v>32</v>
      </c>
      <c r="C63">
        <v>6</v>
      </c>
    </row>
    <row r="64" spans="1:3" x14ac:dyDescent="0.3">
      <c r="A64" t="s">
        <v>209</v>
      </c>
      <c r="B64" t="s">
        <v>32</v>
      </c>
      <c r="C64">
        <v>6</v>
      </c>
    </row>
    <row r="65" spans="1:3" x14ac:dyDescent="0.3">
      <c r="A65" t="s">
        <v>211</v>
      </c>
      <c r="B65" t="s">
        <v>32</v>
      </c>
      <c r="C65">
        <v>6</v>
      </c>
    </row>
    <row r="66" spans="1:3" x14ac:dyDescent="0.3">
      <c r="A66" t="s">
        <v>218</v>
      </c>
      <c r="B66" t="s">
        <v>32</v>
      </c>
      <c r="C66">
        <v>6</v>
      </c>
    </row>
    <row r="67" spans="1:3" x14ac:dyDescent="0.3">
      <c r="A67" t="s">
        <v>224</v>
      </c>
      <c r="B67" t="s">
        <v>32</v>
      </c>
      <c r="C67">
        <v>6</v>
      </c>
    </row>
    <row r="68" spans="1:3" x14ac:dyDescent="0.3">
      <c r="A68" t="s">
        <v>225</v>
      </c>
      <c r="B68" t="s">
        <v>32</v>
      </c>
      <c r="C68">
        <v>6</v>
      </c>
    </row>
    <row r="69" spans="1:3" x14ac:dyDescent="0.3">
      <c r="A69" t="s">
        <v>231</v>
      </c>
      <c r="B69" t="s">
        <v>32</v>
      </c>
      <c r="C69">
        <v>6</v>
      </c>
    </row>
    <row r="70" spans="1:3" x14ac:dyDescent="0.3">
      <c r="A70" t="s">
        <v>246</v>
      </c>
      <c r="B70" t="s">
        <v>32</v>
      </c>
      <c r="C70">
        <v>6</v>
      </c>
    </row>
    <row r="71" spans="1:3" x14ac:dyDescent="0.3">
      <c r="A71" t="s">
        <v>255</v>
      </c>
      <c r="B71" t="s">
        <v>32</v>
      </c>
      <c r="C71">
        <v>6</v>
      </c>
    </row>
    <row r="72" spans="1:3" x14ac:dyDescent="0.3">
      <c r="A72" t="s">
        <v>257</v>
      </c>
      <c r="B72" t="s">
        <v>32</v>
      </c>
      <c r="C72">
        <v>6</v>
      </c>
    </row>
    <row r="73" spans="1:3" x14ac:dyDescent="0.3">
      <c r="A73" t="s">
        <v>267</v>
      </c>
      <c r="B73" t="s">
        <v>32</v>
      </c>
      <c r="C73">
        <v>6</v>
      </c>
    </row>
    <row r="74" spans="1:3" x14ac:dyDescent="0.3">
      <c r="A74" t="s">
        <v>270</v>
      </c>
      <c r="B74" t="s">
        <v>32</v>
      </c>
      <c r="C74">
        <v>6</v>
      </c>
    </row>
    <row r="75" spans="1:3" x14ac:dyDescent="0.3">
      <c r="A75" t="s">
        <v>271</v>
      </c>
      <c r="B75" t="s">
        <v>32</v>
      </c>
      <c r="C75">
        <v>6</v>
      </c>
    </row>
    <row r="76" spans="1:3" x14ac:dyDescent="0.3">
      <c r="A76" t="s">
        <v>277</v>
      </c>
      <c r="B76" t="s">
        <v>32</v>
      </c>
      <c r="C76">
        <v>6</v>
      </c>
    </row>
    <row r="77" spans="1:3" x14ac:dyDescent="0.3">
      <c r="A77" t="s">
        <v>290</v>
      </c>
      <c r="B77" t="s">
        <v>32</v>
      </c>
      <c r="C77">
        <v>6</v>
      </c>
    </row>
    <row r="78" spans="1:3" x14ac:dyDescent="0.3">
      <c r="A78" t="s">
        <v>299</v>
      </c>
      <c r="B78" t="s">
        <v>32</v>
      </c>
      <c r="C78">
        <v>6</v>
      </c>
    </row>
    <row r="79" spans="1:3" x14ac:dyDescent="0.3">
      <c r="A79" t="s">
        <v>321</v>
      </c>
      <c r="B79" t="s">
        <v>32</v>
      </c>
      <c r="C79">
        <v>6</v>
      </c>
    </row>
    <row r="80" spans="1:3" x14ac:dyDescent="0.3">
      <c r="A80" t="s">
        <v>324</v>
      </c>
      <c r="B80" t="s">
        <v>32</v>
      </c>
      <c r="C80">
        <v>6</v>
      </c>
    </row>
    <row r="81" spans="1:3" x14ac:dyDescent="0.3">
      <c r="A81" t="s">
        <v>330</v>
      </c>
      <c r="B81" t="s">
        <v>32</v>
      </c>
      <c r="C81">
        <v>6</v>
      </c>
    </row>
    <row r="82" spans="1:3" x14ac:dyDescent="0.3">
      <c r="A82" t="s">
        <v>338</v>
      </c>
      <c r="B82" t="s">
        <v>32</v>
      </c>
      <c r="C82">
        <v>6</v>
      </c>
    </row>
    <row r="83" spans="1:3" x14ac:dyDescent="0.3">
      <c r="A83" t="s">
        <v>341</v>
      </c>
      <c r="B83" t="s">
        <v>32</v>
      </c>
      <c r="C83">
        <v>6</v>
      </c>
    </row>
    <row r="84" spans="1:3" x14ac:dyDescent="0.3">
      <c r="A84" t="s">
        <v>355</v>
      </c>
      <c r="B84" t="s">
        <v>32</v>
      </c>
      <c r="C84">
        <v>6</v>
      </c>
    </row>
    <row r="85" spans="1:3" x14ac:dyDescent="0.3">
      <c r="A85" t="s">
        <v>356</v>
      </c>
      <c r="B85" t="s">
        <v>32</v>
      </c>
      <c r="C85">
        <v>6</v>
      </c>
    </row>
    <row r="86" spans="1:3" x14ac:dyDescent="0.3">
      <c r="A86" t="s">
        <v>357</v>
      </c>
      <c r="B86" t="s">
        <v>32</v>
      </c>
      <c r="C86">
        <v>6</v>
      </c>
    </row>
    <row r="87" spans="1:3" x14ac:dyDescent="0.3">
      <c r="A87" t="s">
        <v>183</v>
      </c>
      <c r="B87" t="s">
        <v>359</v>
      </c>
      <c r="C87">
        <v>6</v>
      </c>
    </row>
    <row r="88" spans="1:3" x14ac:dyDescent="0.3">
      <c r="A88" t="s">
        <v>250</v>
      </c>
      <c r="B88" t="s">
        <v>359</v>
      </c>
      <c r="C88">
        <v>6</v>
      </c>
    </row>
    <row r="89" spans="1:3" x14ac:dyDescent="0.3">
      <c r="A89" t="s">
        <v>296</v>
      </c>
      <c r="B89" t="s">
        <v>359</v>
      </c>
      <c r="C89">
        <v>6</v>
      </c>
    </row>
    <row r="90" spans="1:3" x14ac:dyDescent="0.3">
      <c r="A90" t="s">
        <v>38</v>
      </c>
      <c r="B90" t="s">
        <v>32</v>
      </c>
      <c r="C90">
        <v>7</v>
      </c>
    </row>
    <row r="91" spans="1:3" x14ac:dyDescent="0.3">
      <c r="A91" t="s">
        <v>52</v>
      </c>
      <c r="B91" t="s">
        <v>32</v>
      </c>
      <c r="C91">
        <v>7</v>
      </c>
    </row>
    <row r="92" spans="1:3" x14ac:dyDescent="0.3">
      <c r="A92" t="s">
        <v>55</v>
      </c>
      <c r="B92" t="s">
        <v>32</v>
      </c>
      <c r="C92">
        <v>7</v>
      </c>
    </row>
    <row r="93" spans="1:3" x14ac:dyDescent="0.3">
      <c r="A93" t="s">
        <v>60</v>
      </c>
      <c r="B93" t="s">
        <v>32</v>
      </c>
      <c r="C93">
        <v>7</v>
      </c>
    </row>
    <row r="94" spans="1:3" x14ac:dyDescent="0.3">
      <c r="A94" t="s">
        <v>66</v>
      </c>
      <c r="B94" t="s">
        <v>32</v>
      </c>
      <c r="C94">
        <v>7</v>
      </c>
    </row>
    <row r="95" spans="1:3" x14ac:dyDescent="0.3">
      <c r="A95" t="s">
        <v>76</v>
      </c>
      <c r="B95" t="s">
        <v>32</v>
      </c>
      <c r="C95">
        <v>7</v>
      </c>
    </row>
    <row r="96" spans="1:3" x14ac:dyDescent="0.3">
      <c r="A96" t="s">
        <v>81</v>
      </c>
      <c r="B96" t="s">
        <v>32</v>
      </c>
      <c r="C96">
        <v>7</v>
      </c>
    </row>
    <row r="97" spans="1:3" x14ac:dyDescent="0.3">
      <c r="A97" t="s">
        <v>85</v>
      </c>
      <c r="B97" t="s">
        <v>32</v>
      </c>
      <c r="C97">
        <v>7</v>
      </c>
    </row>
    <row r="98" spans="1:3" x14ac:dyDescent="0.3">
      <c r="A98" t="s">
        <v>94</v>
      </c>
      <c r="B98" t="s">
        <v>32</v>
      </c>
      <c r="C98">
        <v>7</v>
      </c>
    </row>
    <row r="99" spans="1:3" x14ac:dyDescent="0.3">
      <c r="A99" t="s">
        <v>107</v>
      </c>
      <c r="B99" t="s">
        <v>32</v>
      </c>
      <c r="C99">
        <v>7</v>
      </c>
    </row>
    <row r="100" spans="1:3" x14ac:dyDescent="0.3">
      <c r="A100" t="s">
        <v>117</v>
      </c>
      <c r="B100" t="s">
        <v>32</v>
      </c>
      <c r="C100">
        <v>7</v>
      </c>
    </row>
    <row r="101" spans="1:3" x14ac:dyDescent="0.3">
      <c r="A101" t="s">
        <v>119</v>
      </c>
      <c r="B101" t="s">
        <v>32</v>
      </c>
      <c r="C101">
        <v>7</v>
      </c>
    </row>
    <row r="102" spans="1:3" x14ac:dyDescent="0.3">
      <c r="A102" t="s">
        <v>120</v>
      </c>
      <c r="B102" t="s">
        <v>32</v>
      </c>
      <c r="C102">
        <v>7</v>
      </c>
    </row>
    <row r="103" spans="1:3" x14ac:dyDescent="0.3">
      <c r="A103" t="s">
        <v>131</v>
      </c>
      <c r="B103" t="s">
        <v>32</v>
      </c>
      <c r="C103">
        <v>7</v>
      </c>
    </row>
    <row r="104" spans="1:3" x14ac:dyDescent="0.3">
      <c r="A104" t="s">
        <v>136</v>
      </c>
      <c r="B104" t="s">
        <v>32</v>
      </c>
      <c r="C104">
        <v>7</v>
      </c>
    </row>
    <row r="105" spans="1:3" x14ac:dyDescent="0.3">
      <c r="A105" t="s">
        <v>137</v>
      </c>
      <c r="B105" t="s">
        <v>32</v>
      </c>
      <c r="C105">
        <v>7</v>
      </c>
    </row>
    <row r="106" spans="1:3" x14ac:dyDescent="0.3">
      <c r="A106" t="s">
        <v>145</v>
      </c>
      <c r="B106" t="s">
        <v>32</v>
      </c>
      <c r="C106">
        <v>7</v>
      </c>
    </row>
    <row r="107" spans="1:3" x14ac:dyDescent="0.3">
      <c r="A107" t="s">
        <v>147</v>
      </c>
      <c r="B107" t="s">
        <v>32</v>
      </c>
      <c r="C107">
        <v>7</v>
      </c>
    </row>
    <row r="108" spans="1:3" x14ac:dyDescent="0.3">
      <c r="A108" t="s">
        <v>155</v>
      </c>
      <c r="B108" t="s">
        <v>32</v>
      </c>
      <c r="C108">
        <v>7</v>
      </c>
    </row>
    <row r="109" spans="1:3" x14ac:dyDescent="0.3">
      <c r="A109" t="s">
        <v>170</v>
      </c>
      <c r="B109" t="s">
        <v>32</v>
      </c>
      <c r="C109">
        <v>7</v>
      </c>
    </row>
    <row r="110" spans="1:3" x14ac:dyDescent="0.3">
      <c r="A110" t="s">
        <v>172</v>
      </c>
      <c r="B110" t="s">
        <v>32</v>
      </c>
      <c r="C110">
        <v>7</v>
      </c>
    </row>
    <row r="111" spans="1:3" x14ac:dyDescent="0.3">
      <c r="A111" t="s">
        <v>181</v>
      </c>
      <c r="B111" t="s">
        <v>32</v>
      </c>
      <c r="C111">
        <v>7</v>
      </c>
    </row>
    <row r="112" spans="1:3" x14ac:dyDescent="0.3">
      <c r="A112" t="s">
        <v>201</v>
      </c>
      <c r="B112" t="s">
        <v>32</v>
      </c>
      <c r="C112">
        <v>7</v>
      </c>
    </row>
    <row r="113" spans="1:3" x14ac:dyDescent="0.3">
      <c r="A113" t="s">
        <v>221</v>
      </c>
      <c r="B113" t="s">
        <v>32</v>
      </c>
      <c r="C113">
        <v>7</v>
      </c>
    </row>
    <row r="114" spans="1:3" x14ac:dyDescent="0.3">
      <c r="A114" t="s">
        <v>228</v>
      </c>
      <c r="B114" t="s">
        <v>32</v>
      </c>
      <c r="C114">
        <v>7</v>
      </c>
    </row>
    <row r="115" spans="1:3" x14ac:dyDescent="0.3">
      <c r="A115" t="s">
        <v>230</v>
      </c>
      <c r="B115" t="s">
        <v>32</v>
      </c>
      <c r="C115">
        <v>7</v>
      </c>
    </row>
    <row r="116" spans="1:3" x14ac:dyDescent="0.3">
      <c r="A116" t="s">
        <v>241</v>
      </c>
      <c r="B116" t="s">
        <v>32</v>
      </c>
      <c r="C116">
        <v>7</v>
      </c>
    </row>
    <row r="117" spans="1:3" x14ac:dyDescent="0.3">
      <c r="A117" t="s">
        <v>242</v>
      </c>
      <c r="B117" t="s">
        <v>32</v>
      </c>
      <c r="C117">
        <v>7</v>
      </c>
    </row>
    <row r="118" spans="1:3" x14ac:dyDescent="0.3">
      <c r="A118" t="s">
        <v>244</v>
      </c>
      <c r="B118" t="s">
        <v>32</v>
      </c>
      <c r="C118">
        <v>7</v>
      </c>
    </row>
    <row r="119" spans="1:3" x14ac:dyDescent="0.3">
      <c r="A119" t="s">
        <v>253</v>
      </c>
      <c r="B119" t="s">
        <v>32</v>
      </c>
      <c r="C119">
        <v>7</v>
      </c>
    </row>
    <row r="120" spans="1:3" x14ac:dyDescent="0.3">
      <c r="A120" t="s">
        <v>258</v>
      </c>
      <c r="B120" t="s">
        <v>32</v>
      </c>
      <c r="C120">
        <v>7</v>
      </c>
    </row>
    <row r="121" spans="1:3" x14ac:dyDescent="0.3">
      <c r="A121" t="s">
        <v>262</v>
      </c>
      <c r="B121" t="s">
        <v>32</v>
      </c>
      <c r="C121">
        <v>7</v>
      </c>
    </row>
    <row r="122" spans="1:3" x14ac:dyDescent="0.3">
      <c r="A122" t="s">
        <v>264</v>
      </c>
      <c r="B122" t="s">
        <v>32</v>
      </c>
      <c r="C122">
        <v>7</v>
      </c>
    </row>
    <row r="123" spans="1:3" x14ac:dyDescent="0.3">
      <c r="A123" t="s">
        <v>265</v>
      </c>
      <c r="B123" t="s">
        <v>32</v>
      </c>
      <c r="C123">
        <v>7</v>
      </c>
    </row>
    <row r="124" spans="1:3" x14ac:dyDescent="0.3">
      <c r="A124" t="s">
        <v>268</v>
      </c>
      <c r="B124" t="s">
        <v>32</v>
      </c>
      <c r="C124">
        <v>7</v>
      </c>
    </row>
    <row r="125" spans="1:3" x14ac:dyDescent="0.3">
      <c r="A125" t="s">
        <v>272</v>
      </c>
      <c r="B125" t="s">
        <v>32</v>
      </c>
      <c r="C125">
        <v>7</v>
      </c>
    </row>
    <row r="126" spans="1:3" x14ac:dyDescent="0.3">
      <c r="A126" t="s">
        <v>275</v>
      </c>
      <c r="B126" t="s">
        <v>32</v>
      </c>
      <c r="C126">
        <v>7</v>
      </c>
    </row>
    <row r="127" spans="1:3" x14ac:dyDescent="0.3">
      <c r="A127" t="s">
        <v>279</v>
      </c>
      <c r="B127" t="s">
        <v>32</v>
      </c>
      <c r="C127">
        <v>7</v>
      </c>
    </row>
    <row r="128" spans="1:3" x14ac:dyDescent="0.3">
      <c r="A128" t="s">
        <v>282</v>
      </c>
      <c r="B128" t="s">
        <v>32</v>
      </c>
      <c r="C128">
        <v>7</v>
      </c>
    </row>
    <row r="129" spans="1:3" x14ac:dyDescent="0.3">
      <c r="A129" t="s">
        <v>294</v>
      </c>
      <c r="B129" t="s">
        <v>32</v>
      </c>
      <c r="C129">
        <v>7</v>
      </c>
    </row>
    <row r="130" spans="1:3" x14ac:dyDescent="0.3">
      <c r="A130" t="s">
        <v>309</v>
      </c>
      <c r="B130" t="s">
        <v>32</v>
      </c>
      <c r="C130">
        <v>7</v>
      </c>
    </row>
    <row r="131" spans="1:3" x14ac:dyDescent="0.3">
      <c r="A131" t="s">
        <v>315</v>
      </c>
      <c r="B131" t="s">
        <v>32</v>
      </c>
      <c r="C131">
        <v>7</v>
      </c>
    </row>
    <row r="132" spans="1:3" x14ac:dyDescent="0.3">
      <c r="A132" t="s">
        <v>316</v>
      </c>
      <c r="B132" t="s">
        <v>32</v>
      </c>
      <c r="C132">
        <v>7</v>
      </c>
    </row>
    <row r="133" spans="1:3" x14ac:dyDescent="0.3">
      <c r="A133" t="s">
        <v>323</v>
      </c>
      <c r="B133" t="s">
        <v>32</v>
      </c>
      <c r="C133">
        <v>7</v>
      </c>
    </row>
    <row r="134" spans="1:3" x14ac:dyDescent="0.3">
      <c r="A134" t="s">
        <v>326</v>
      </c>
      <c r="B134" t="s">
        <v>32</v>
      </c>
      <c r="C134">
        <v>7</v>
      </c>
    </row>
    <row r="135" spans="1:3" x14ac:dyDescent="0.3">
      <c r="A135" t="s">
        <v>328</v>
      </c>
      <c r="B135" t="s">
        <v>32</v>
      </c>
      <c r="C135">
        <v>7</v>
      </c>
    </row>
    <row r="136" spans="1:3" x14ac:dyDescent="0.3">
      <c r="A136" t="s">
        <v>333</v>
      </c>
      <c r="B136" t="s">
        <v>32</v>
      </c>
      <c r="C136">
        <v>7</v>
      </c>
    </row>
    <row r="137" spans="1:3" x14ac:dyDescent="0.3">
      <c r="A137" t="s">
        <v>342</v>
      </c>
      <c r="B137" t="s">
        <v>32</v>
      </c>
      <c r="C137">
        <v>7</v>
      </c>
    </row>
    <row r="138" spans="1:3" x14ac:dyDescent="0.3">
      <c r="A138" t="s">
        <v>345</v>
      </c>
      <c r="B138" t="s">
        <v>32</v>
      </c>
      <c r="C138">
        <v>7</v>
      </c>
    </row>
    <row r="139" spans="1:3" x14ac:dyDescent="0.3">
      <c r="A139" t="s">
        <v>59</v>
      </c>
      <c r="B139" t="s">
        <v>359</v>
      </c>
      <c r="C139">
        <v>7</v>
      </c>
    </row>
    <row r="140" spans="1:3" x14ac:dyDescent="0.3">
      <c r="A140" t="s">
        <v>67</v>
      </c>
      <c r="B140" t="s">
        <v>359</v>
      </c>
      <c r="C140">
        <v>7</v>
      </c>
    </row>
    <row r="141" spans="1:3" x14ac:dyDescent="0.3">
      <c r="A141" t="s">
        <v>74</v>
      </c>
      <c r="B141" t="s">
        <v>359</v>
      </c>
      <c r="C141">
        <v>7</v>
      </c>
    </row>
    <row r="142" spans="1:3" x14ac:dyDescent="0.3">
      <c r="A142" t="s">
        <v>161</v>
      </c>
      <c r="B142" t="s">
        <v>359</v>
      </c>
      <c r="C142">
        <v>7</v>
      </c>
    </row>
    <row r="143" spans="1:3" x14ac:dyDescent="0.3">
      <c r="A143" t="s">
        <v>176</v>
      </c>
      <c r="B143" t="s">
        <v>359</v>
      </c>
      <c r="C143">
        <v>7</v>
      </c>
    </row>
    <row r="144" spans="1:3" x14ac:dyDescent="0.3">
      <c r="A144" t="s">
        <v>333</v>
      </c>
      <c r="B144" t="s">
        <v>359</v>
      </c>
      <c r="C144">
        <v>7</v>
      </c>
    </row>
    <row r="145" spans="1:3" x14ac:dyDescent="0.3">
      <c r="A145" t="s">
        <v>31</v>
      </c>
      <c r="B145" t="s">
        <v>32</v>
      </c>
      <c r="C145">
        <v>8</v>
      </c>
    </row>
    <row r="146" spans="1:3" x14ac:dyDescent="0.3">
      <c r="A146" t="s">
        <v>34</v>
      </c>
      <c r="B146" t="s">
        <v>32</v>
      </c>
      <c r="C146">
        <v>8</v>
      </c>
    </row>
    <row r="147" spans="1:3" x14ac:dyDescent="0.3">
      <c r="A147" t="s">
        <v>45</v>
      </c>
      <c r="B147" t="s">
        <v>32</v>
      </c>
      <c r="C147">
        <v>8</v>
      </c>
    </row>
    <row r="148" spans="1:3" x14ac:dyDescent="0.3">
      <c r="A148" t="s">
        <v>49</v>
      </c>
      <c r="B148" t="s">
        <v>32</v>
      </c>
      <c r="C148">
        <v>8</v>
      </c>
    </row>
    <row r="149" spans="1:3" x14ac:dyDescent="0.3">
      <c r="A149" t="s">
        <v>51</v>
      </c>
      <c r="B149" t="s">
        <v>32</v>
      </c>
      <c r="C149">
        <v>8</v>
      </c>
    </row>
    <row r="150" spans="1:3" x14ac:dyDescent="0.3">
      <c r="A150" t="s">
        <v>72</v>
      </c>
      <c r="B150" t="s">
        <v>32</v>
      </c>
      <c r="C150">
        <v>8</v>
      </c>
    </row>
    <row r="151" spans="1:3" x14ac:dyDescent="0.3">
      <c r="A151" t="s">
        <v>74</v>
      </c>
      <c r="B151" t="s">
        <v>32</v>
      </c>
      <c r="C151">
        <v>8</v>
      </c>
    </row>
    <row r="152" spans="1:3" x14ac:dyDescent="0.3">
      <c r="A152" t="s">
        <v>83</v>
      </c>
      <c r="B152" t="s">
        <v>32</v>
      </c>
      <c r="C152">
        <v>8</v>
      </c>
    </row>
    <row r="153" spans="1:3" x14ac:dyDescent="0.3">
      <c r="A153" t="s">
        <v>89</v>
      </c>
      <c r="B153" t="s">
        <v>32</v>
      </c>
      <c r="C153">
        <v>8</v>
      </c>
    </row>
    <row r="154" spans="1:3" x14ac:dyDescent="0.3">
      <c r="A154" t="s">
        <v>97</v>
      </c>
      <c r="B154" t="s">
        <v>32</v>
      </c>
      <c r="C154">
        <v>8</v>
      </c>
    </row>
    <row r="155" spans="1:3" x14ac:dyDescent="0.3">
      <c r="A155" t="s">
        <v>101</v>
      </c>
      <c r="B155" t="s">
        <v>32</v>
      </c>
      <c r="C155">
        <v>8</v>
      </c>
    </row>
    <row r="156" spans="1:3" x14ac:dyDescent="0.3">
      <c r="A156" t="s">
        <v>104</v>
      </c>
      <c r="B156" t="s">
        <v>32</v>
      </c>
      <c r="C156">
        <v>8</v>
      </c>
    </row>
    <row r="157" spans="1:3" x14ac:dyDescent="0.3">
      <c r="A157" t="s">
        <v>118</v>
      </c>
      <c r="B157" t="s">
        <v>32</v>
      </c>
      <c r="C157">
        <v>8</v>
      </c>
    </row>
    <row r="158" spans="1:3" x14ac:dyDescent="0.3">
      <c r="A158" t="s">
        <v>133</v>
      </c>
      <c r="B158" t="s">
        <v>32</v>
      </c>
      <c r="C158">
        <v>8</v>
      </c>
    </row>
    <row r="159" spans="1:3" x14ac:dyDescent="0.3">
      <c r="A159" t="s">
        <v>138</v>
      </c>
      <c r="B159" t="s">
        <v>32</v>
      </c>
      <c r="C159">
        <v>8</v>
      </c>
    </row>
    <row r="160" spans="1:3" x14ac:dyDescent="0.3">
      <c r="A160" t="s">
        <v>141</v>
      </c>
      <c r="B160" t="s">
        <v>32</v>
      </c>
      <c r="C160">
        <v>8</v>
      </c>
    </row>
    <row r="161" spans="1:3" x14ac:dyDescent="0.3">
      <c r="A161" t="s">
        <v>142</v>
      </c>
      <c r="B161" t="s">
        <v>32</v>
      </c>
      <c r="C161">
        <v>8</v>
      </c>
    </row>
    <row r="162" spans="1:3" x14ac:dyDescent="0.3">
      <c r="A162" t="s">
        <v>146</v>
      </c>
      <c r="B162" t="s">
        <v>32</v>
      </c>
      <c r="C162">
        <v>8</v>
      </c>
    </row>
    <row r="163" spans="1:3" x14ac:dyDescent="0.3">
      <c r="A163" t="s">
        <v>153</v>
      </c>
      <c r="B163" t="s">
        <v>32</v>
      </c>
      <c r="C163">
        <v>8</v>
      </c>
    </row>
    <row r="164" spans="1:3" x14ac:dyDescent="0.3">
      <c r="A164" t="s">
        <v>168</v>
      </c>
      <c r="B164" t="s">
        <v>32</v>
      </c>
      <c r="C164">
        <v>8</v>
      </c>
    </row>
    <row r="165" spans="1:3" x14ac:dyDescent="0.3">
      <c r="A165" t="s">
        <v>175</v>
      </c>
      <c r="B165" t="s">
        <v>32</v>
      </c>
      <c r="C165">
        <v>8</v>
      </c>
    </row>
    <row r="166" spans="1:3" x14ac:dyDescent="0.3">
      <c r="A166" t="s">
        <v>183</v>
      </c>
      <c r="B166" t="s">
        <v>32</v>
      </c>
      <c r="C166">
        <v>8</v>
      </c>
    </row>
    <row r="167" spans="1:3" x14ac:dyDescent="0.3">
      <c r="A167" t="s">
        <v>192</v>
      </c>
      <c r="B167" t="s">
        <v>32</v>
      </c>
      <c r="C167">
        <v>8</v>
      </c>
    </row>
    <row r="168" spans="1:3" x14ac:dyDescent="0.3">
      <c r="A168" t="s">
        <v>199</v>
      </c>
      <c r="B168" t="s">
        <v>32</v>
      </c>
      <c r="C168">
        <v>8</v>
      </c>
    </row>
    <row r="169" spans="1:3" x14ac:dyDescent="0.3">
      <c r="A169" t="s">
        <v>206</v>
      </c>
      <c r="B169" t="s">
        <v>32</v>
      </c>
      <c r="C169">
        <v>8</v>
      </c>
    </row>
    <row r="170" spans="1:3" x14ac:dyDescent="0.3">
      <c r="A170" t="s">
        <v>207</v>
      </c>
      <c r="B170" t="s">
        <v>32</v>
      </c>
      <c r="C170">
        <v>8</v>
      </c>
    </row>
    <row r="171" spans="1:3" x14ac:dyDescent="0.3">
      <c r="A171" t="s">
        <v>210</v>
      </c>
      <c r="B171" t="s">
        <v>32</v>
      </c>
      <c r="C171">
        <v>8</v>
      </c>
    </row>
    <row r="172" spans="1:3" x14ac:dyDescent="0.3">
      <c r="A172" t="s">
        <v>227</v>
      </c>
      <c r="B172" t="s">
        <v>32</v>
      </c>
      <c r="C172">
        <v>8</v>
      </c>
    </row>
    <row r="173" spans="1:3" x14ac:dyDescent="0.3">
      <c r="A173" t="s">
        <v>247</v>
      </c>
      <c r="B173" t="s">
        <v>32</v>
      </c>
      <c r="C173">
        <v>8</v>
      </c>
    </row>
    <row r="174" spans="1:3" x14ac:dyDescent="0.3">
      <c r="A174" t="s">
        <v>248</v>
      </c>
      <c r="B174" t="s">
        <v>32</v>
      </c>
      <c r="C174">
        <v>8</v>
      </c>
    </row>
    <row r="175" spans="1:3" x14ac:dyDescent="0.3">
      <c r="A175" t="s">
        <v>260</v>
      </c>
      <c r="B175" t="s">
        <v>32</v>
      </c>
      <c r="C175">
        <v>8</v>
      </c>
    </row>
    <row r="176" spans="1:3" x14ac:dyDescent="0.3">
      <c r="A176" t="s">
        <v>284</v>
      </c>
      <c r="B176" t="s">
        <v>32</v>
      </c>
      <c r="C176">
        <v>8</v>
      </c>
    </row>
    <row r="177" spans="1:3" x14ac:dyDescent="0.3">
      <c r="A177" t="s">
        <v>285</v>
      </c>
      <c r="B177" t="s">
        <v>32</v>
      </c>
      <c r="C177">
        <v>8</v>
      </c>
    </row>
    <row r="178" spans="1:3" x14ac:dyDescent="0.3">
      <c r="A178" t="s">
        <v>291</v>
      </c>
      <c r="B178" t="s">
        <v>32</v>
      </c>
      <c r="C178">
        <v>8</v>
      </c>
    </row>
    <row r="179" spans="1:3" x14ac:dyDescent="0.3">
      <c r="A179" t="s">
        <v>295</v>
      </c>
      <c r="B179" t="s">
        <v>32</v>
      </c>
      <c r="C179">
        <v>8</v>
      </c>
    </row>
    <row r="180" spans="1:3" x14ac:dyDescent="0.3">
      <c r="A180" t="s">
        <v>296</v>
      </c>
      <c r="B180" t="s">
        <v>32</v>
      </c>
      <c r="C180">
        <v>8</v>
      </c>
    </row>
    <row r="181" spans="1:3" x14ac:dyDescent="0.3">
      <c r="A181" t="s">
        <v>306</v>
      </c>
      <c r="B181" t="s">
        <v>32</v>
      </c>
      <c r="C181">
        <v>8</v>
      </c>
    </row>
    <row r="182" spans="1:3" x14ac:dyDescent="0.3">
      <c r="A182" t="s">
        <v>311</v>
      </c>
      <c r="B182" t="s">
        <v>32</v>
      </c>
      <c r="C182">
        <v>8</v>
      </c>
    </row>
    <row r="183" spans="1:3" x14ac:dyDescent="0.3">
      <c r="A183" t="s">
        <v>313</v>
      </c>
      <c r="B183" t="s">
        <v>32</v>
      </c>
      <c r="C183">
        <v>8</v>
      </c>
    </row>
    <row r="184" spans="1:3" x14ac:dyDescent="0.3">
      <c r="A184" t="s">
        <v>322</v>
      </c>
      <c r="B184" t="s">
        <v>32</v>
      </c>
      <c r="C184">
        <v>8</v>
      </c>
    </row>
    <row r="185" spans="1:3" x14ac:dyDescent="0.3">
      <c r="A185" t="s">
        <v>325</v>
      </c>
      <c r="B185" t="s">
        <v>32</v>
      </c>
      <c r="C185">
        <v>8</v>
      </c>
    </row>
    <row r="186" spans="1:3" x14ac:dyDescent="0.3">
      <c r="A186" t="s">
        <v>353</v>
      </c>
      <c r="B186" t="s">
        <v>32</v>
      </c>
      <c r="C186">
        <v>8</v>
      </c>
    </row>
    <row r="187" spans="1:3" x14ac:dyDescent="0.3">
      <c r="A187" t="s">
        <v>354</v>
      </c>
      <c r="B187" t="s">
        <v>32</v>
      </c>
      <c r="C187">
        <v>8</v>
      </c>
    </row>
    <row r="188" spans="1:3" x14ac:dyDescent="0.3">
      <c r="A188" t="s">
        <v>358</v>
      </c>
      <c r="B188" t="s">
        <v>32</v>
      </c>
      <c r="C188">
        <v>8</v>
      </c>
    </row>
    <row r="189" spans="1:3" x14ac:dyDescent="0.3">
      <c r="A189" t="s">
        <v>35</v>
      </c>
      <c r="B189" t="s">
        <v>359</v>
      </c>
      <c r="C189">
        <v>8</v>
      </c>
    </row>
    <row r="190" spans="1:3" x14ac:dyDescent="0.3">
      <c r="A190" t="s">
        <v>49</v>
      </c>
      <c r="B190" t="s">
        <v>359</v>
      </c>
      <c r="C190">
        <v>8</v>
      </c>
    </row>
    <row r="191" spans="1:3" x14ac:dyDescent="0.3">
      <c r="A191" t="s">
        <v>79</v>
      </c>
      <c r="B191" t="s">
        <v>359</v>
      </c>
      <c r="C191">
        <v>8</v>
      </c>
    </row>
    <row r="192" spans="1:3" x14ac:dyDescent="0.3">
      <c r="A192" t="s">
        <v>132</v>
      </c>
      <c r="B192" t="s">
        <v>359</v>
      </c>
      <c r="C192">
        <v>8</v>
      </c>
    </row>
    <row r="193" spans="1:3" x14ac:dyDescent="0.3">
      <c r="A193" t="s">
        <v>142</v>
      </c>
      <c r="B193" t="s">
        <v>359</v>
      </c>
      <c r="C193">
        <v>8</v>
      </c>
    </row>
    <row r="194" spans="1:3" x14ac:dyDescent="0.3">
      <c r="A194" t="s">
        <v>158</v>
      </c>
      <c r="B194" t="s">
        <v>359</v>
      </c>
      <c r="C194">
        <v>8</v>
      </c>
    </row>
    <row r="195" spans="1:3" x14ac:dyDescent="0.3">
      <c r="A195" t="s">
        <v>160</v>
      </c>
      <c r="B195" t="s">
        <v>359</v>
      </c>
      <c r="C195">
        <v>8</v>
      </c>
    </row>
    <row r="196" spans="1:3" x14ac:dyDescent="0.3">
      <c r="A196" t="s">
        <v>188</v>
      </c>
      <c r="B196" t="s">
        <v>359</v>
      </c>
      <c r="C196">
        <v>8</v>
      </c>
    </row>
    <row r="197" spans="1:3" x14ac:dyDescent="0.3">
      <c r="A197" t="s">
        <v>210</v>
      </c>
      <c r="B197" t="s">
        <v>359</v>
      </c>
      <c r="C197">
        <v>8</v>
      </c>
    </row>
    <row r="198" spans="1:3" x14ac:dyDescent="0.3">
      <c r="A198" t="s">
        <v>216</v>
      </c>
      <c r="B198" t="s">
        <v>359</v>
      </c>
      <c r="C198">
        <v>8</v>
      </c>
    </row>
    <row r="199" spans="1:3" x14ac:dyDescent="0.3">
      <c r="A199" t="s">
        <v>219</v>
      </c>
      <c r="B199" t="s">
        <v>359</v>
      </c>
      <c r="C199">
        <v>8</v>
      </c>
    </row>
    <row r="200" spans="1:3" x14ac:dyDescent="0.3">
      <c r="A200" t="s">
        <v>242</v>
      </c>
      <c r="B200" t="s">
        <v>359</v>
      </c>
      <c r="C200">
        <v>8</v>
      </c>
    </row>
    <row r="201" spans="1:3" x14ac:dyDescent="0.3">
      <c r="A201" t="s">
        <v>244</v>
      </c>
      <c r="B201" t="s">
        <v>359</v>
      </c>
      <c r="C201">
        <v>8</v>
      </c>
    </row>
    <row r="202" spans="1:3" x14ac:dyDescent="0.3">
      <c r="A202" t="s">
        <v>264</v>
      </c>
      <c r="B202" t="s">
        <v>359</v>
      </c>
      <c r="C202">
        <v>8</v>
      </c>
    </row>
    <row r="203" spans="1:3" x14ac:dyDescent="0.3">
      <c r="A203" t="s">
        <v>269</v>
      </c>
      <c r="B203" t="s">
        <v>359</v>
      </c>
      <c r="C203">
        <v>8</v>
      </c>
    </row>
    <row r="204" spans="1:3" x14ac:dyDescent="0.3">
      <c r="A204" t="s">
        <v>283</v>
      </c>
      <c r="B204" t="s">
        <v>359</v>
      </c>
      <c r="C204">
        <v>8</v>
      </c>
    </row>
    <row r="205" spans="1:3" x14ac:dyDescent="0.3">
      <c r="A205" t="s">
        <v>285</v>
      </c>
      <c r="B205" t="s">
        <v>359</v>
      </c>
      <c r="C205">
        <v>8</v>
      </c>
    </row>
    <row r="206" spans="1:3" x14ac:dyDescent="0.3">
      <c r="A206" t="s">
        <v>287</v>
      </c>
      <c r="B206" t="s">
        <v>359</v>
      </c>
      <c r="C206">
        <v>8</v>
      </c>
    </row>
    <row r="207" spans="1:3" x14ac:dyDescent="0.3">
      <c r="A207" t="s">
        <v>293</v>
      </c>
      <c r="B207" t="s">
        <v>359</v>
      </c>
      <c r="C207">
        <v>8</v>
      </c>
    </row>
    <row r="208" spans="1:3" x14ac:dyDescent="0.3">
      <c r="A208" t="s">
        <v>305</v>
      </c>
      <c r="B208" t="s">
        <v>359</v>
      </c>
      <c r="C208">
        <v>8</v>
      </c>
    </row>
    <row r="209" spans="1:3" x14ac:dyDescent="0.3">
      <c r="A209" t="s">
        <v>312</v>
      </c>
      <c r="B209" t="s">
        <v>359</v>
      </c>
      <c r="C209">
        <v>8</v>
      </c>
    </row>
    <row r="210" spans="1:3" x14ac:dyDescent="0.3">
      <c r="A210" t="s">
        <v>320</v>
      </c>
      <c r="B210" t="s">
        <v>359</v>
      </c>
      <c r="C210">
        <v>8</v>
      </c>
    </row>
    <row r="211" spans="1:3" x14ac:dyDescent="0.3">
      <c r="A211" t="s">
        <v>39</v>
      </c>
      <c r="B211" t="s">
        <v>32</v>
      </c>
      <c r="C211">
        <v>9</v>
      </c>
    </row>
    <row r="212" spans="1:3" x14ac:dyDescent="0.3">
      <c r="A212" t="s">
        <v>56</v>
      </c>
      <c r="B212" t="s">
        <v>32</v>
      </c>
      <c r="C212">
        <v>9</v>
      </c>
    </row>
    <row r="213" spans="1:3" x14ac:dyDescent="0.3">
      <c r="A213" t="s">
        <v>62</v>
      </c>
      <c r="B213" t="s">
        <v>32</v>
      </c>
      <c r="C213">
        <v>9</v>
      </c>
    </row>
    <row r="214" spans="1:3" x14ac:dyDescent="0.3">
      <c r="A214" t="s">
        <v>67</v>
      </c>
      <c r="B214" t="s">
        <v>32</v>
      </c>
      <c r="C214">
        <v>9</v>
      </c>
    </row>
    <row r="215" spans="1:3" x14ac:dyDescent="0.3">
      <c r="A215" t="s">
        <v>68</v>
      </c>
      <c r="B215" t="s">
        <v>32</v>
      </c>
      <c r="C215">
        <v>9</v>
      </c>
    </row>
    <row r="216" spans="1:3" x14ac:dyDescent="0.3">
      <c r="A216" t="s">
        <v>71</v>
      </c>
      <c r="B216" t="s">
        <v>32</v>
      </c>
      <c r="C216">
        <v>9</v>
      </c>
    </row>
    <row r="217" spans="1:3" x14ac:dyDescent="0.3">
      <c r="A217" t="s">
        <v>75</v>
      </c>
      <c r="B217" t="s">
        <v>32</v>
      </c>
      <c r="C217">
        <v>9</v>
      </c>
    </row>
    <row r="218" spans="1:3" x14ac:dyDescent="0.3">
      <c r="A218" t="s">
        <v>84</v>
      </c>
      <c r="B218" t="s">
        <v>32</v>
      </c>
      <c r="C218">
        <v>9</v>
      </c>
    </row>
    <row r="219" spans="1:3" x14ac:dyDescent="0.3">
      <c r="A219" t="s">
        <v>86</v>
      </c>
      <c r="B219" t="s">
        <v>32</v>
      </c>
      <c r="C219">
        <v>9</v>
      </c>
    </row>
    <row r="220" spans="1:3" x14ac:dyDescent="0.3">
      <c r="A220" t="s">
        <v>90</v>
      </c>
      <c r="B220" t="s">
        <v>32</v>
      </c>
      <c r="C220">
        <v>9</v>
      </c>
    </row>
    <row r="221" spans="1:3" x14ac:dyDescent="0.3">
      <c r="A221" t="s">
        <v>93</v>
      </c>
      <c r="B221" t="s">
        <v>32</v>
      </c>
      <c r="C221">
        <v>9</v>
      </c>
    </row>
    <row r="222" spans="1:3" x14ac:dyDescent="0.3">
      <c r="A222" t="s">
        <v>115</v>
      </c>
      <c r="B222" t="s">
        <v>32</v>
      </c>
      <c r="C222">
        <v>9</v>
      </c>
    </row>
    <row r="223" spans="1:3" x14ac:dyDescent="0.3">
      <c r="A223" t="s">
        <v>116</v>
      </c>
      <c r="B223" t="s">
        <v>32</v>
      </c>
      <c r="C223">
        <v>9</v>
      </c>
    </row>
    <row r="224" spans="1:3" x14ac:dyDescent="0.3">
      <c r="A224" t="s">
        <v>121</v>
      </c>
      <c r="B224" t="s">
        <v>32</v>
      </c>
      <c r="C224">
        <v>9</v>
      </c>
    </row>
    <row r="225" spans="1:3" x14ac:dyDescent="0.3">
      <c r="A225" t="s">
        <v>125</v>
      </c>
      <c r="B225" t="s">
        <v>32</v>
      </c>
      <c r="C225">
        <v>9</v>
      </c>
    </row>
    <row r="226" spans="1:3" x14ac:dyDescent="0.3">
      <c r="A226" t="s">
        <v>127</v>
      </c>
      <c r="B226" t="s">
        <v>32</v>
      </c>
      <c r="C226">
        <v>9</v>
      </c>
    </row>
    <row r="227" spans="1:3" x14ac:dyDescent="0.3">
      <c r="A227" t="s">
        <v>128</v>
      </c>
      <c r="B227" t="s">
        <v>32</v>
      </c>
      <c r="C227">
        <v>9</v>
      </c>
    </row>
    <row r="228" spans="1:3" x14ac:dyDescent="0.3">
      <c r="A228" t="s">
        <v>130</v>
      </c>
      <c r="B228" t="s">
        <v>32</v>
      </c>
      <c r="C228">
        <v>9</v>
      </c>
    </row>
    <row r="229" spans="1:3" x14ac:dyDescent="0.3">
      <c r="A229" t="s">
        <v>139</v>
      </c>
      <c r="B229" t="s">
        <v>32</v>
      </c>
      <c r="C229">
        <v>9</v>
      </c>
    </row>
    <row r="230" spans="1:3" x14ac:dyDescent="0.3">
      <c r="A230" t="s">
        <v>152</v>
      </c>
      <c r="B230" t="s">
        <v>32</v>
      </c>
      <c r="C230">
        <v>9</v>
      </c>
    </row>
    <row r="231" spans="1:3" x14ac:dyDescent="0.3">
      <c r="A231" t="s">
        <v>161</v>
      </c>
      <c r="B231" t="s">
        <v>32</v>
      </c>
      <c r="C231">
        <v>9</v>
      </c>
    </row>
    <row r="232" spans="1:3" x14ac:dyDescent="0.3">
      <c r="A232" t="s">
        <v>162</v>
      </c>
      <c r="B232" t="s">
        <v>32</v>
      </c>
      <c r="C232">
        <v>9</v>
      </c>
    </row>
    <row r="233" spans="1:3" x14ac:dyDescent="0.3">
      <c r="A233" t="s">
        <v>163</v>
      </c>
      <c r="B233" t="s">
        <v>32</v>
      </c>
      <c r="C233">
        <v>9</v>
      </c>
    </row>
    <row r="234" spans="1:3" x14ac:dyDescent="0.3">
      <c r="A234" t="s">
        <v>177</v>
      </c>
      <c r="B234" t="s">
        <v>32</v>
      </c>
      <c r="C234">
        <v>9</v>
      </c>
    </row>
    <row r="235" spans="1:3" x14ac:dyDescent="0.3">
      <c r="A235" t="s">
        <v>178</v>
      </c>
      <c r="B235" t="s">
        <v>32</v>
      </c>
      <c r="C235">
        <v>9</v>
      </c>
    </row>
    <row r="236" spans="1:3" x14ac:dyDescent="0.3">
      <c r="A236" t="s">
        <v>186</v>
      </c>
      <c r="B236" t="s">
        <v>32</v>
      </c>
      <c r="C236">
        <v>9</v>
      </c>
    </row>
    <row r="237" spans="1:3" x14ac:dyDescent="0.3">
      <c r="A237" t="s">
        <v>188</v>
      </c>
      <c r="B237" t="s">
        <v>32</v>
      </c>
      <c r="C237">
        <v>9</v>
      </c>
    </row>
    <row r="238" spans="1:3" x14ac:dyDescent="0.3">
      <c r="A238" t="s">
        <v>205</v>
      </c>
      <c r="B238" t="s">
        <v>32</v>
      </c>
      <c r="C238">
        <v>9</v>
      </c>
    </row>
    <row r="239" spans="1:3" x14ac:dyDescent="0.3">
      <c r="A239" t="s">
        <v>208</v>
      </c>
      <c r="B239" t="s">
        <v>32</v>
      </c>
      <c r="C239">
        <v>9</v>
      </c>
    </row>
    <row r="240" spans="1:3" x14ac:dyDescent="0.3">
      <c r="A240" t="s">
        <v>212</v>
      </c>
      <c r="B240" t="s">
        <v>32</v>
      </c>
      <c r="C240">
        <v>9</v>
      </c>
    </row>
    <row r="241" spans="1:3" x14ac:dyDescent="0.3">
      <c r="A241" t="s">
        <v>213</v>
      </c>
      <c r="B241" t="s">
        <v>32</v>
      </c>
      <c r="C241">
        <v>9</v>
      </c>
    </row>
    <row r="242" spans="1:3" x14ac:dyDescent="0.3">
      <c r="A242" t="s">
        <v>217</v>
      </c>
      <c r="B242" t="s">
        <v>32</v>
      </c>
      <c r="C242">
        <v>9</v>
      </c>
    </row>
    <row r="243" spans="1:3" x14ac:dyDescent="0.3">
      <c r="A243" t="s">
        <v>226</v>
      </c>
      <c r="B243" t="s">
        <v>32</v>
      </c>
      <c r="C243">
        <v>9</v>
      </c>
    </row>
    <row r="244" spans="1:3" x14ac:dyDescent="0.3">
      <c r="A244" t="s">
        <v>234</v>
      </c>
      <c r="B244" t="s">
        <v>32</v>
      </c>
      <c r="C244">
        <v>9</v>
      </c>
    </row>
    <row r="245" spans="1:3" x14ac:dyDescent="0.3">
      <c r="A245" t="s">
        <v>235</v>
      </c>
      <c r="B245" t="s">
        <v>32</v>
      </c>
      <c r="C245">
        <v>9</v>
      </c>
    </row>
    <row r="246" spans="1:3" x14ac:dyDescent="0.3">
      <c r="A246" t="s">
        <v>238</v>
      </c>
      <c r="B246" t="s">
        <v>32</v>
      </c>
      <c r="C246">
        <v>9</v>
      </c>
    </row>
    <row r="247" spans="1:3" x14ac:dyDescent="0.3">
      <c r="A247" t="s">
        <v>240</v>
      </c>
      <c r="B247" t="s">
        <v>32</v>
      </c>
      <c r="C247">
        <v>9</v>
      </c>
    </row>
    <row r="248" spans="1:3" x14ac:dyDescent="0.3">
      <c r="A248" t="s">
        <v>251</v>
      </c>
      <c r="B248" t="s">
        <v>32</v>
      </c>
      <c r="C248">
        <v>9</v>
      </c>
    </row>
    <row r="249" spans="1:3" x14ac:dyDescent="0.3">
      <c r="A249" t="s">
        <v>252</v>
      </c>
      <c r="B249" t="s">
        <v>32</v>
      </c>
      <c r="C249">
        <v>9</v>
      </c>
    </row>
    <row r="250" spans="1:3" x14ac:dyDescent="0.3">
      <c r="A250" t="s">
        <v>254</v>
      </c>
      <c r="B250" t="s">
        <v>32</v>
      </c>
      <c r="C250">
        <v>9</v>
      </c>
    </row>
    <row r="251" spans="1:3" x14ac:dyDescent="0.3">
      <c r="A251" t="s">
        <v>256</v>
      </c>
      <c r="B251" t="s">
        <v>32</v>
      </c>
      <c r="C251">
        <v>9</v>
      </c>
    </row>
    <row r="252" spans="1:3" x14ac:dyDescent="0.3">
      <c r="A252" t="s">
        <v>263</v>
      </c>
      <c r="B252" t="s">
        <v>32</v>
      </c>
      <c r="C252">
        <v>9</v>
      </c>
    </row>
    <row r="253" spans="1:3" x14ac:dyDescent="0.3">
      <c r="A253" t="s">
        <v>281</v>
      </c>
      <c r="B253" t="s">
        <v>32</v>
      </c>
      <c r="C253">
        <v>9</v>
      </c>
    </row>
    <row r="254" spans="1:3" x14ac:dyDescent="0.3">
      <c r="A254" t="s">
        <v>283</v>
      </c>
      <c r="B254" t="s">
        <v>32</v>
      </c>
      <c r="C254">
        <v>9</v>
      </c>
    </row>
    <row r="255" spans="1:3" x14ac:dyDescent="0.3">
      <c r="A255" t="s">
        <v>286</v>
      </c>
      <c r="B255" t="s">
        <v>32</v>
      </c>
      <c r="C255">
        <v>9</v>
      </c>
    </row>
    <row r="256" spans="1:3" x14ac:dyDescent="0.3">
      <c r="A256" t="s">
        <v>292</v>
      </c>
      <c r="B256" t="s">
        <v>32</v>
      </c>
      <c r="C256">
        <v>9</v>
      </c>
    </row>
    <row r="257" spans="1:3" x14ac:dyDescent="0.3">
      <c r="A257" t="s">
        <v>305</v>
      </c>
      <c r="B257" t="s">
        <v>32</v>
      </c>
      <c r="C257">
        <v>9</v>
      </c>
    </row>
    <row r="258" spans="1:3" x14ac:dyDescent="0.3">
      <c r="A258" t="s">
        <v>308</v>
      </c>
      <c r="B258" t="s">
        <v>32</v>
      </c>
      <c r="C258">
        <v>9</v>
      </c>
    </row>
    <row r="259" spans="1:3" x14ac:dyDescent="0.3">
      <c r="A259" t="s">
        <v>310</v>
      </c>
      <c r="B259" t="s">
        <v>32</v>
      </c>
      <c r="C259">
        <v>9</v>
      </c>
    </row>
    <row r="260" spans="1:3" x14ac:dyDescent="0.3">
      <c r="A260" t="s">
        <v>317</v>
      </c>
      <c r="B260" t="s">
        <v>32</v>
      </c>
      <c r="C260">
        <v>9</v>
      </c>
    </row>
    <row r="261" spans="1:3" x14ac:dyDescent="0.3">
      <c r="A261" t="s">
        <v>318</v>
      </c>
      <c r="B261" t="s">
        <v>32</v>
      </c>
      <c r="C261">
        <v>9</v>
      </c>
    </row>
    <row r="262" spans="1:3" x14ac:dyDescent="0.3">
      <c r="A262" t="s">
        <v>329</v>
      </c>
      <c r="B262" t="s">
        <v>32</v>
      </c>
      <c r="C262">
        <v>9</v>
      </c>
    </row>
    <row r="263" spans="1:3" x14ac:dyDescent="0.3">
      <c r="A263" t="s">
        <v>334</v>
      </c>
      <c r="B263" t="s">
        <v>32</v>
      </c>
      <c r="C263">
        <v>9</v>
      </c>
    </row>
    <row r="264" spans="1:3" x14ac:dyDescent="0.3">
      <c r="A264" t="s">
        <v>335</v>
      </c>
      <c r="B264" t="s">
        <v>32</v>
      </c>
      <c r="C264">
        <v>9</v>
      </c>
    </row>
    <row r="265" spans="1:3" x14ac:dyDescent="0.3">
      <c r="A265" t="s">
        <v>336</v>
      </c>
      <c r="B265" t="s">
        <v>32</v>
      </c>
      <c r="C265">
        <v>9</v>
      </c>
    </row>
    <row r="266" spans="1:3" x14ac:dyDescent="0.3">
      <c r="A266" t="s">
        <v>337</v>
      </c>
      <c r="B266" t="s">
        <v>32</v>
      </c>
      <c r="C266">
        <v>9</v>
      </c>
    </row>
    <row r="267" spans="1:3" x14ac:dyDescent="0.3">
      <c r="A267" t="s">
        <v>340</v>
      </c>
      <c r="B267" t="s">
        <v>32</v>
      </c>
      <c r="C267">
        <v>9</v>
      </c>
    </row>
    <row r="268" spans="1:3" x14ac:dyDescent="0.3">
      <c r="A268" t="s">
        <v>348</v>
      </c>
      <c r="B268" t="s">
        <v>32</v>
      </c>
      <c r="C268">
        <v>9</v>
      </c>
    </row>
    <row r="269" spans="1:3" x14ac:dyDescent="0.3">
      <c r="A269" t="s">
        <v>34</v>
      </c>
      <c r="B269" t="s">
        <v>359</v>
      </c>
      <c r="C269">
        <v>9</v>
      </c>
    </row>
    <row r="270" spans="1:3" x14ac:dyDescent="0.3">
      <c r="A270" t="s">
        <v>38</v>
      </c>
      <c r="B270" t="s">
        <v>359</v>
      </c>
      <c r="C270">
        <v>9</v>
      </c>
    </row>
    <row r="271" spans="1:3" x14ac:dyDescent="0.3">
      <c r="A271" t="s">
        <v>39</v>
      </c>
      <c r="B271" t="s">
        <v>359</v>
      </c>
      <c r="C271">
        <v>9</v>
      </c>
    </row>
    <row r="272" spans="1:3" x14ac:dyDescent="0.3">
      <c r="A272" t="s">
        <v>50</v>
      </c>
      <c r="B272" t="s">
        <v>359</v>
      </c>
      <c r="C272">
        <v>9</v>
      </c>
    </row>
    <row r="273" spans="1:3" x14ac:dyDescent="0.3">
      <c r="A273" t="s">
        <v>91</v>
      </c>
      <c r="B273" t="s">
        <v>359</v>
      </c>
      <c r="C273">
        <v>9</v>
      </c>
    </row>
    <row r="274" spans="1:3" x14ac:dyDescent="0.3">
      <c r="A274" t="s">
        <v>98</v>
      </c>
      <c r="B274" t="s">
        <v>359</v>
      </c>
      <c r="C274">
        <v>9</v>
      </c>
    </row>
    <row r="275" spans="1:3" x14ac:dyDescent="0.3">
      <c r="A275" t="s">
        <v>124</v>
      </c>
      <c r="B275" t="s">
        <v>359</v>
      </c>
      <c r="C275">
        <v>9</v>
      </c>
    </row>
    <row r="276" spans="1:3" x14ac:dyDescent="0.3">
      <c r="A276" t="s">
        <v>133</v>
      </c>
      <c r="B276" t="s">
        <v>359</v>
      </c>
      <c r="C276">
        <v>9</v>
      </c>
    </row>
    <row r="277" spans="1:3" x14ac:dyDescent="0.3">
      <c r="A277" t="s">
        <v>154</v>
      </c>
      <c r="B277" t="s">
        <v>359</v>
      </c>
      <c r="C277">
        <v>9</v>
      </c>
    </row>
    <row r="278" spans="1:3" x14ac:dyDescent="0.3">
      <c r="A278" t="s">
        <v>178</v>
      </c>
      <c r="B278" t="s">
        <v>359</v>
      </c>
      <c r="C278">
        <v>9</v>
      </c>
    </row>
    <row r="279" spans="1:3" x14ac:dyDescent="0.3">
      <c r="A279" t="s">
        <v>182</v>
      </c>
      <c r="B279" t="s">
        <v>359</v>
      </c>
      <c r="C279">
        <v>9</v>
      </c>
    </row>
    <row r="280" spans="1:3" x14ac:dyDescent="0.3">
      <c r="A280" t="s">
        <v>184</v>
      </c>
      <c r="B280" t="s">
        <v>359</v>
      </c>
      <c r="C280">
        <v>9</v>
      </c>
    </row>
    <row r="281" spans="1:3" x14ac:dyDescent="0.3">
      <c r="A281" t="s">
        <v>189</v>
      </c>
      <c r="B281" t="s">
        <v>359</v>
      </c>
      <c r="C281">
        <v>9</v>
      </c>
    </row>
    <row r="282" spans="1:3" x14ac:dyDescent="0.3">
      <c r="A282" t="s">
        <v>191</v>
      </c>
      <c r="B282" t="s">
        <v>359</v>
      </c>
      <c r="C282">
        <v>9</v>
      </c>
    </row>
    <row r="283" spans="1:3" x14ac:dyDescent="0.3">
      <c r="A283" t="s">
        <v>208</v>
      </c>
      <c r="B283" t="s">
        <v>359</v>
      </c>
      <c r="C283">
        <v>9</v>
      </c>
    </row>
    <row r="284" spans="1:3" x14ac:dyDescent="0.3">
      <c r="A284" t="s">
        <v>224</v>
      </c>
      <c r="B284" t="s">
        <v>359</v>
      </c>
      <c r="C284">
        <v>9</v>
      </c>
    </row>
    <row r="285" spans="1:3" x14ac:dyDescent="0.3">
      <c r="A285" t="s">
        <v>234</v>
      </c>
      <c r="B285" t="s">
        <v>359</v>
      </c>
      <c r="C285">
        <v>9</v>
      </c>
    </row>
    <row r="286" spans="1:3" x14ac:dyDescent="0.3">
      <c r="A286" t="s">
        <v>298</v>
      </c>
      <c r="B286" t="s">
        <v>359</v>
      </c>
      <c r="C286">
        <v>9</v>
      </c>
    </row>
    <row r="287" spans="1:3" x14ac:dyDescent="0.3">
      <c r="A287" t="s">
        <v>301</v>
      </c>
      <c r="B287" t="s">
        <v>359</v>
      </c>
      <c r="C287">
        <v>9</v>
      </c>
    </row>
    <row r="288" spans="1:3" x14ac:dyDescent="0.3">
      <c r="A288" t="s">
        <v>306</v>
      </c>
      <c r="B288" t="s">
        <v>359</v>
      </c>
      <c r="C288">
        <v>9</v>
      </c>
    </row>
    <row r="289" spans="1:3" x14ac:dyDescent="0.3">
      <c r="A289" t="s">
        <v>326</v>
      </c>
      <c r="B289" t="s">
        <v>359</v>
      </c>
      <c r="C289">
        <v>9</v>
      </c>
    </row>
    <row r="290" spans="1:3" x14ac:dyDescent="0.3">
      <c r="A290" t="s">
        <v>335</v>
      </c>
      <c r="B290" t="s">
        <v>359</v>
      </c>
      <c r="C290">
        <v>9</v>
      </c>
    </row>
    <row r="291" spans="1:3" x14ac:dyDescent="0.3">
      <c r="A291" t="s">
        <v>347</v>
      </c>
      <c r="B291" t="s">
        <v>359</v>
      </c>
      <c r="C291">
        <v>9</v>
      </c>
    </row>
    <row r="292" spans="1:3" x14ac:dyDescent="0.3">
      <c r="A292" t="s">
        <v>36</v>
      </c>
      <c r="B292" t="s">
        <v>32</v>
      </c>
      <c r="C292">
        <v>10</v>
      </c>
    </row>
    <row r="293" spans="1:3" x14ac:dyDescent="0.3">
      <c r="A293" t="s">
        <v>40</v>
      </c>
      <c r="B293" t="s">
        <v>32</v>
      </c>
      <c r="C293">
        <v>10</v>
      </c>
    </row>
    <row r="294" spans="1:3" x14ac:dyDescent="0.3">
      <c r="A294" t="s">
        <v>54</v>
      </c>
      <c r="B294" t="s">
        <v>32</v>
      </c>
      <c r="C294">
        <v>10</v>
      </c>
    </row>
    <row r="295" spans="1:3" x14ac:dyDescent="0.3">
      <c r="A295" t="s">
        <v>70</v>
      </c>
      <c r="B295" t="s">
        <v>32</v>
      </c>
      <c r="C295">
        <v>10</v>
      </c>
    </row>
    <row r="296" spans="1:3" x14ac:dyDescent="0.3">
      <c r="A296" t="s">
        <v>78</v>
      </c>
      <c r="B296" t="s">
        <v>32</v>
      </c>
      <c r="C296">
        <v>10</v>
      </c>
    </row>
    <row r="297" spans="1:3" x14ac:dyDescent="0.3">
      <c r="A297" t="s">
        <v>82</v>
      </c>
      <c r="B297" t="s">
        <v>32</v>
      </c>
      <c r="C297">
        <v>10</v>
      </c>
    </row>
    <row r="298" spans="1:3" x14ac:dyDescent="0.3">
      <c r="A298" t="s">
        <v>92</v>
      </c>
      <c r="B298" t="s">
        <v>32</v>
      </c>
      <c r="C298">
        <v>10</v>
      </c>
    </row>
    <row r="299" spans="1:3" x14ac:dyDescent="0.3">
      <c r="A299" t="s">
        <v>111</v>
      </c>
      <c r="B299" t="s">
        <v>32</v>
      </c>
      <c r="C299">
        <v>10</v>
      </c>
    </row>
    <row r="300" spans="1:3" x14ac:dyDescent="0.3">
      <c r="A300" t="s">
        <v>114</v>
      </c>
      <c r="B300" t="s">
        <v>32</v>
      </c>
      <c r="C300">
        <v>10</v>
      </c>
    </row>
    <row r="301" spans="1:3" x14ac:dyDescent="0.3">
      <c r="A301" t="s">
        <v>123</v>
      </c>
      <c r="B301" t="s">
        <v>32</v>
      </c>
      <c r="C301">
        <v>10</v>
      </c>
    </row>
    <row r="302" spans="1:3" x14ac:dyDescent="0.3">
      <c r="A302" t="s">
        <v>124</v>
      </c>
      <c r="B302" t="s">
        <v>32</v>
      </c>
      <c r="C302">
        <v>10</v>
      </c>
    </row>
    <row r="303" spans="1:3" x14ac:dyDescent="0.3">
      <c r="A303" t="s">
        <v>126</v>
      </c>
      <c r="B303" t="s">
        <v>32</v>
      </c>
      <c r="C303">
        <v>10</v>
      </c>
    </row>
    <row r="304" spans="1:3" x14ac:dyDescent="0.3">
      <c r="A304" t="s">
        <v>132</v>
      </c>
      <c r="B304" t="s">
        <v>32</v>
      </c>
      <c r="C304">
        <v>10</v>
      </c>
    </row>
    <row r="305" spans="1:3" x14ac:dyDescent="0.3">
      <c r="A305" t="s">
        <v>134</v>
      </c>
      <c r="B305" t="s">
        <v>32</v>
      </c>
      <c r="C305">
        <v>10</v>
      </c>
    </row>
    <row r="306" spans="1:3" x14ac:dyDescent="0.3">
      <c r="A306" t="s">
        <v>143</v>
      </c>
      <c r="B306" t="s">
        <v>32</v>
      </c>
      <c r="C306">
        <v>10</v>
      </c>
    </row>
    <row r="307" spans="1:3" x14ac:dyDescent="0.3">
      <c r="A307" t="s">
        <v>144</v>
      </c>
      <c r="B307" t="s">
        <v>32</v>
      </c>
      <c r="C307">
        <v>10</v>
      </c>
    </row>
    <row r="308" spans="1:3" x14ac:dyDescent="0.3">
      <c r="A308" t="s">
        <v>150</v>
      </c>
      <c r="B308" t="s">
        <v>32</v>
      </c>
      <c r="C308">
        <v>10</v>
      </c>
    </row>
    <row r="309" spans="1:3" x14ac:dyDescent="0.3">
      <c r="A309" t="s">
        <v>157</v>
      </c>
      <c r="B309" t="s">
        <v>32</v>
      </c>
      <c r="C309">
        <v>10</v>
      </c>
    </row>
    <row r="310" spans="1:3" x14ac:dyDescent="0.3">
      <c r="A310" t="s">
        <v>193</v>
      </c>
      <c r="B310" t="s">
        <v>32</v>
      </c>
      <c r="C310">
        <v>10</v>
      </c>
    </row>
    <row r="311" spans="1:3" x14ac:dyDescent="0.3">
      <c r="A311" t="s">
        <v>195</v>
      </c>
      <c r="B311" t="s">
        <v>32</v>
      </c>
      <c r="C311">
        <v>10</v>
      </c>
    </row>
    <row r="312" spans="1:3" x14ac:dyDescent="0.3">
      <c r="A312" t="s">
        <v>219</v>
      </c>
      <c r="B312" t="s">
        <v>32</v>
      </c>
      <c r="C312">
        <v>10</v>
      </c>
    </row>
    <row r="313" spans="1:3" x14ac:dyDescent="0.3">
      <c r="A313" t="s">
        <v>220</v>
      </c>
      <c r="B313" t="s">
        <v>32</v>
      </c>
      <c r="C313">
        <v>10</v>
      </c>
    </row>
    <row r="314" spans="1:3" x14ac:dyDescent="0.3">
      <c r="A314" t="s">
        <v>239</v>
      </c>
      <c r="B314" t="s">
        <v>32</v>
      </c>
      <c r="C314">
        <v>10</v>
      </c>
    </row>
    <row r="315" spans="1:3" x14ac:dyDescent="0.3">
      <c r="A315" t="s">
        <v>250</v>
      </c>
      <c r="B315" t="s">
        <v>32</v>
      </c>
      <c r="C315">
        <v>10</v>
      </c>
    </row>
    <row r="316" spans="1:3" x14ac:dyDescent="0.3">
      <c r="A316" t="s">
        <v>259</v>
      </c>
      <c r="B316" t="s">
        <v>32</v>
      </c>
      <c r="C316">
        <v>10</v>
      </c>
    </row>
    <row r="317" spans="1:3" x14ac:dyDescent="0.3">
      <c r="A317" t="s">
        <v>273</v>
      </c>
      <c r="B317" t="s">
        <v>32</v>
      </c>
      <c r="C317">
        <v>10</v>
      </c>
    </row>
    <row r="318" spans="1:3" x14ac:dyDescent="0.3">
      <c r="A318" t="s">
        <v>278</v>
      </c>
      <c r="B318" t="s">
        <v>32</v>
      </c>
      <c r="C318">
        <v>10</v>
      </c>
    </row>
    <row r="319" spans="1:3" x14ac:dyDescent="0.3">
      <c r="A319" t="s">
        <v>288</v>
      </c>
      <c r="B319" t="s">
        <v>32</v>
      </c>
      <c r="C319">
        <v>10</v>
      </c>
    </row>
    <row r="320" spans="1:3" x14ac:dyDescent="0.3">
      <c r="A320" t="s">
        <v>300</v>
      </c>
      <c r="B320" t="s">
        <v>32</v>
      </c>
      <c r="C320">
        <v>10</v>
      </c>
    </row>
    <row r="321" spans="1:3" x14ac:dyDescent="0.3">
      <c r="A321" t="s">
        <v>303</v>
      </c>
      <c r="B321" t="s">
        <v>32</v>
      </c>
      <c r="C321">
        <v>10</v>
      </c>
    </row>
    <row r="322" spans="1:3" x14ac:dyDescent="0.3">
      <c r="A322" t="s">
        <v>314</v>
      </c>
      <c r="B322" t="s">
        <v>32</v>
      </c>
      <c r="C322">
        <v>10</v>
      </c>
    </row>
    <row r="323" spans="1:3" x14ac:dyDescent="0.3">
      <c r="A323" t="s">
        <v>320</v>
      </c>
      <c r="B323" t="s">
        <v>32</v>
      </c>
      <c r="C323">
        <v>10</v>
      </c>
    </row>
    <row r="324" spans="1:3" x14ac:dyDescent="0.3">
      <c r="A324" t="s">
        <v>344</v>
      </c>
      <c r="B324" t="s">
        <v>32</v>
      </c>
      <c r="C324">
        <v>10</v>
      </c>
    </row>
    <row r="325" spans="1:3" x14ac:dyDescent="0.3">
      <c r="A325" t="s">
        <v>352</v>
      </c>
      <c r="B325" t="s">
        <v>32</v>
      </c>
      <c r="C325">
        <v>10</v>
      </c>
    </row>
    <row r="326" spans="1:3" x14ac:dyDescent="0.3">
      <c r="A326" t="s">
        <v>43</v>
      </c>
      <c r="B326" t="s">
        <v>359</v>
      </c>
      <c r="C326">
        <v>10</v>
      </c>
    </row>
    <row r="327" spans="1:3" x14ac:dyDescent="0.3">
      <c r="A327" t="s">
        <v>61</v>
      </c>
      <c r="B327" t="s">
        <v>359</v>
      </c>
      <c r="C327">
        <v>10</v>
      </c>
    </row>
    <row r="328" spans="1:3" x14ac:dyDescent="0.3">
      <c r="A328" t="s">
        <v>81</v>
      </c>
      <c r="B328" t="s">
        <v>359</v>
      </c>
      <c r="C328">
        <v>10</v>
      </c>
    </row>
    <row r="329" spans="1:3" x14ac:dyDescent="0.3">
      <c r="A329" t="s">
        <v>86</v>
      </c>
      <c r="B329" t="s">
        <v>359</v>
      </c>
      <c r="C329">
        <v>10</v>
      </c>
    </row>
    <row r="330" spans="1:3" x14ac:dyDescent="0.3">
      <c r="A330" t="s">
        <v>92</v>
      </c>
      <c r="B330" t="s">
        <v>359</v>
      </c>
      <c r="C330">
        <v>10</v>
      </c>
    </row>
    <row r="331" spans="1:3" x14ac:dyDescent="0.3">
      <c r="A331" t="s">
        <v>99</v>
      </c>
      <c r="B331" t="s">
        <v>359</v>
      </c>
      <c r="C331">
        <v>10</v>
      </c>
    </row>
    <row r="332" spans="1:3" x14ac:dyDescent="0.3">
      <c r="A332" t="s">
        <v>109</v>
      </c>
      <c r="B332" t="s">
        <v>359</v>
      </c>
      <c r="C332">
        <v>10</v>
      </c>
    </row>
    <row r="333" spans="1:3" x14ac:dyDescent="0.3">
      <c r="A333" t="s">
        <v>126</v>
      </c>
      <c r="B333" t="s">
        <v>359</v>
      </c>
      <c r="C333">
        <v>10</v>
      </c>
    </row>
    <row r="334" spans="1:3" x14ac:dyDescent="0.3">
      <c r="A334" t="s">
        <v>128</v>
      </c>
      <c r="B334" t="s">
        <v>359</v>
      </c>
      <c r="C334">
        <v>10</v>
      </c>
    </row>
    <row r="335" spans="1:3" x14ac:dyDescent="0.3">
      <c r="A335" t="s">
        <v>148</v>
      </c>
      <c r="B335" t="s">
        <v>359</v>
      </c>
      <c r="C335">
        <v>10</v>
      </c>
    </row>
    <row r="336" spans="1:3" x14ac:dyDescent="0.3">
      <c r="A336" t="s">
        <v>155</v>
      </c>
      <c r="B336" t="s">
        <v>359</v>
      </c>
      <c r="C336">
        <v>10</v>
      </c>
    </row>
    <row r="337" spans="1:3" x14ac:dyDescent="0.3">
      <c r="A337" t="s">
        <v>163</v>
      </c>
      <c r="B337" t="s">
        <v>359</v>
      </c>
      <c r="C337">
        <v>10</v>
      </c>
    </row>
    <row r="338" spans="1:3" x14ac:dyDescent="0.3">
      <c r="A338" t="s">
        <v>187</v>
      </c>
      <c r="B338" t="s">
        <v>359</v>
      </c>
      <c r="C338">
        <v>10</v>
      </c>
    </row>
    <row r="339" spans="1:3" x14ac:dyDescent="0.3">
      <c r="A339" t="s">
        <v>213</v>
      </c>
      <c r="B339" t="s">
        <v>359</v>
      </c>
      <c r="C339">
        <v>10</v>
      </c>
    </row>
    <row r="340" spans="1:3" x14ac:dyDescent="0.3">
      <c r="A340" t="s">
        <v>225</v>
      </c>
      <c r="B340" t="s">
        <v>359</v>
      </c>
      <c r="C340">
        <v>10</v>
      </c>
    </row>
    <row r="341" spans="1:3" x14ac:dyDescent="0.3">
      <c r="A341" t="s">
        <v>235</v>
      </c>
      <c r="B341" t="s">
        <v>359</v>
      </c>
      <c r="C341">
        <v>10</v>
      </c>
    </row>
    <row r="342" spans="1:3" x14ac:dyDescent="0.3">
      <c r="A342" t="s">
        <v>236</v>
      </c>
      <c r="B342" t="s">
        <v>359</v>
      </c>
      <c r="C342">
        <v>10</v>
      </c>
    </row>
    <row r="343" spans="1:3" x14ac:dyDescent="0.3">
      <c r="A343" t="s">
        <v>237</v>
      </c>
      <c r="B343" t="s">
        <v>359</v>
      </c>
      <c r="C343">
        <v>10</v>
      </c>
    </row>
    <row r="344" spans="1:3" x14ac:dyDescent="0.3">
      <c r="A344" t="s">
        <v>258</v>
      </c>
      <c r="B344" t="s">
        <v>359</v>
      </c>
      <c r="C344">
        <v>10</v>
      </c>
    </row>
    <row r="345" spans="1:3" x14ac:dyDescent="0.3">
      <c r="A345" t="s">
        <v>267</v>
      </c>
      <c r="B345" t="s">
        <v>359</v>
      </c>
      <c r="C345">
        <v>10</v>
      </c>
    </row>
    <row r="346" spans="1:3" x14ac:dyDescent="0.3">
      <c r="A346" t="s">
        <v>292</v>
      </c>
      <c r="B346" t="s">
        <v>359</v>
      </c>
      <c r="C346">
        <v>10</v>
      </c>
    </row>
    <row r="347" spans="1:3" x14ac:dyDescent="0.3">
      <c r="A347" t="s">
        <v>297</v>
      </c>
      <c r="B347" t="s">
        <v>359</v>
      </c>
      <c r="C347">
        <v>10</v>
      </c>
    </row>
    <row r="348" spans="1:3" x14ac:dyDescent="0.3">
      <c r="A348" t="s">
        <v>323</v>
      </c>
      <c r="B348" t="s">
        <v>359</v>
      </c>
      <c r="C348">
        <v>10</v>
      </c>
    </row>
    <row r="349" spans="1:3" x14ac:dyDescent="0.3">
      <c r="A349" t="s">
        <v>342</v>
      </c>
      <c r="B349" t="s">
        <v>359</v>
      </c>
      <c r="C349">
        <v>10</v>
      </c>
    </row>
    <row r="350" spans="1:3" x14ac:dyDescent="0.3">
      <c r="A350" t="s">
        <v>346</v>
      </c>
      <c r="B350" t="s">
        <v>359</v>
      </c>
      <c r="C350">
        <v>10</v>
      </c>
    </row>
    <row r="351" spans="1:3" x14ac:dyDescent="0.3">
      <c r="A351" t="s">
        <v>354</v>
      </c>
      <c r="B351" t="s">
        <v>359</v>
      </c>
      <c r="C351">
        <v>10</v>
      </c>
    </row>
    <row r="352" spans="1:3" x14ac:dyDescent="0.3">
      <c r="A352" t="s">
        <v>356</v>
      </c>
      <c r="B352" t="s">
        <v>359</v>
      </c>
      <c r="C352">
        <v>10</v>
      </c>
    </row>
    <row r="353" spans="1:3" x14ac:dyDescent="0.3">
      <c r="A353" t="s">
        <v>57</v>
      </c>
      <c r="B353" t="s">
        <v>32</v>
      </c>
      <c r="C353">
        <v>11</v>
      </c>
    </row>
    <row r="354" spans="1:3" x14ac:dyDescent="0.3">
      <c r="A354" t="s">
        <v>58</v>
      </c>
      <c r="B354" t="s">
        <v>32</v>
      </c>
      <c r="C354">
        <v>11</v>
      </c>
    </row>
    <row r="355" spans="1:3" x14ac:dyDescent="0.3">
      <c r="A355" t="s">
        <v>98</v>
      </c>
      <c r="B355" t="s">
        <v>32</v>
      </c>
      <c r="C355">
        <v>11</v>
      </c>
    </row>
    <row r="356" spans="1:3" x14ac:dyDescent="0.3">
      <c r="A356" t="s">
        <v>103</v>
      </c>
      <c r="B356" t="s">
        <v>32</v>
      </c>
      <c r="C356">
        <v>11</v>
      </c>
    </row>
    <row r="357" spans="1:3" x14ac:dyDescent="0.3">
      <c r="A357" t="s">
        <v>122</v>
      </c>
      <c r="B357" t="s">
        <v>32</v>
      </c>
      <c r="C357">
        <v>11</v>
      </c>
    </row>
    <row r="358" spans="1:3" x14ac:dyDescent="0.3">
      <c r="A358" t="s">
        <v>129</v>
      </c>
      <c r="B358" t="s">
        <v>32</v>
      </c>
      <c r="C358">
        <v>11</v>
      </c>
    </row>
    <row r="359" spans="1:3" x14ac:dyDescent="0.3">
      <c r="A359" t="s">
        <v>149</v>
      </c>
      <c r="B359" t="s">
        <v>32</v>
      </c>
      <c r="C359">
        <v>11</v>
      </c>
    </row>
    <row r="360" spans="1:3" x14ac:dyDescent="0.3">
      <c r="A360" t="s">
        <v>156</v>
      </c>
      <c r="B360" t="s">
        <v>32</v>
      </c>
      <c r="C360">
        <v>11</v>
      </c>
    </row>
    <row r="361" spans="1:3" x14ac:dyDescent="0.3">
      <c r="A361" t="s">
        <v>158</v>
      </c>
      <c r="B361" t="s">
        <v>32</v>
      </c>
      <c r="C361">
        <v>11</v>
      </c>
    </row>
    <row r="362" spans="1:3" x14ac:dyDescent="0.3">
      <c r="A362" t="s">
        <v>182</v>
      </c>
      <c r="B362" t="s">
        <v>32</v>
      </c>
      <c r="C362">
        <v>11</v>
      </c>
    </row>
    <row r="363" spans="1:3" x14ac:dyDescent="0.3">
      <c r="A363" t="s">
        <v>184</v>
      </c>
      <c r="B363" t="s">
        <v>32</v>
      </c>
      <c r="C363">
        <v>11</v>
      </c>
    </row>
    <row r="364" spans="1:3" x14ac:dyDescent="0.3">
      <c r="A364" t="s">
        <v>196</v>
      </c>
      <c r="B364" t="s">
        <v>32</v>
      </c>
      <c r="C364">
        <v>11</v>
      </c>
    </row>
    <row r="365" spans="1:3" x14ac:dyDescent="0.3">
      <c r="A365" t="s">
        <v>197</v>
      </c>
      <c r="B365" t="s">
        <v>32</v>
      </c>
      <c r="C365">
        <v>11</v>
      </c>
    </row>
    <row r="366" spans="1:3" x14ac:dyDescent="0.3">
      <c r="A366" t="s">
        <v>200</v>
      </c>
      <c r="B366" t="s">
        <v>32</v>
      </c>
      <c r="C366">
        <v>11</v>
      </c>
    </row>
    <row r="367" spans="1:3" x14ac:dyDescent="0.3">
      <c r="A367" t="s">
        <v>202</v>
      </c>
      <c r="B367" t="s">
        <v>32</v>
      </c>
      <c r="C367">
        <v>11</v>
      </c>
    </row>
    <row r="368" spans="1:3" x14ac:dyDescent="0.3">
      <c r="A368" t="s">
        <v>203</v>
      </c>
      <c r="B368" t="s">
        <v>32</v>
      </c>
      <c r="C368">
        <v>11</v>
      </c>
    </row>
    <row r="369" spans="1:3" x14ac:dyDescent="0.3">
      <c r="A369" t="s">
        <v>215</v>
      </c>
      <c r="B369" t="s">
        <v>32</v>
      </c>
      <c r="C369">
        <v>11</v>
      </c>
    </row>
    <row r="370" spans="1:3" x14ac:dyDescent="0.3">
      <c r="A370" t="s">
        <v>222</v>
      </c>
      <c r="B370" t="s">
        <v>32</v>
      </c>
      <c r="C370">
        <v>11</v>
      </c>
    </row>
    <row r="371" spans="1:3" x14ac:dyDescent="0.3">
      <c r="A371" t="s">
        <v>229</v>
      </c>
      <c r="B371" t="s">
        <v>32</v>
      </c>
      <c r="C371">
        <v>11</v>
      </c>
    </row>
    <row r="372" spans="1:3" x14ac:dyDescent="0.3">
      <c r="A372" t="s">
        <v>232</v>
      </c>
      <c r="B372" t="s">
        <v>32</v>
      </c>
      <c r="C372">
        <v>11</v>
      </c>
    </row>
    <row r="373" spans="1:3" x14ac:dyDescent="0.3">
      <c r="A373" t="s">
        <v>233</v>
      </c>
      <c r="B373" t="s">
        <v>32</v>
      </c>
      <c r="C373">
        <v>11</v>
      </c>
    </row>
    <row r="374" spans="1:3" x14ac:dyDescent="0.3">
      <c r="A374" t="s">
        <v>236</v>
      </c>
      <c r="B374" t="s">
        <v>32</v>
      </c>
      <c r="C374">
        <v>11</v>
      </c>
    </row>
    <row r="375" spans="1:3" x14ac:dyDescent="0.3">
      <c r="A375" t="s">
        <v>243</v>
      </c>
      <c r="B375" t="s">
        <v>32</v>
      </c>
      <c r="C375">
        <v>11</v>
      </c>
    </row>
    <row r="376" spans="1:3" x14ac:dyDescent="0.3">
      <c r="A376" t="s">
        <v>249</v>
      </c>
      <c r="B376" t="s">
        <v>32</v>
      </c>
      <c r="C376">
        <v>11</v>
      </c>
    </row>
    <row r="377" spans="1:3" x14ac:dyDescent="0.3">
      <c r="A377" t="s">
        <v>287</v>
      </c>
      <c r="B377" t="s">
        <v>32</v>
      </c>
      <c r="C377">
        <v>11</v>
      </c>
    </row>
    <row r="378" spans="1:3" x14ac:dyDescent="0.3">
      <c r="A378" t="s">
        <v>307</v>
      </c>
      <c r="B378" t="s">
        <v>32</v>
      </c>
      <c r="C378">
        <v>11</v>
      </c>
    </row>
    <row r="379" spans="1:3" x14ac:dyDescent="0.3">
      <c r="A379" t="s">
        <v>319</v>
      </c>
      <c r="B379" t="s">
        <v>32</v>
      </c>
      <c r="C379">
        <v>11</v>
      </c>
    </row>
    <row r="380" spans="1:3" x14ac:dyDescent="0.3">
      <c r="A380" t="s">
        <v>331</v>
      </c>
      <c r="B380" t="s">
        <v>32</v>
      </c>
      <c r="C380">
        <v>11</v>
      </c>
    </row>
    <row r="381" spans="1:3" x14ac:dyDescent="0.3">
      <c r="A381" t="s">
        <v>346</v>
      </c>
      <c r="B381" t="s">
        <v>32</v>
      </c>
      <c r="C381">
        <v>11</v>
      </c>
    </row>
    <row r="382" spans="1:3" x14ac:dyDescent="0.3">
      <c r="A382" t="s">
        <v>350</v>
      </c>
      <c r="B382" t="s">
        <v>32</v>
      </c>
      <c r="C382">
        <v>11</v>
      </c>
    </row>
    <row r="383" spans="1:3" x14ac:dyDescent="0.3">
      <c r="A383" t="s">
        <v>46</v>
      </c>
      <c r="B383" t="s">
        <v>359</v>
      </c>
      <c r="C383">
        <v>11</v>
      </c>
    </row>
    <row r="384" spans="1:3" x14ac:dyDescent="0.3">
      <c r="A384" t="s">
        <v>51</v>
      </c>
      <c r="B384" t="s">
        <v>359</v>
      </c>
      <c r="C384">
        <v>11</v>
      </c>
    </row>
    <row r="385" spans="1:3" x14ac:dyDescent="0.3">
      <c r="A385" t="s">
        <v>65</v>
      </c>
      <c r="B385" t="s">
        <v>359</v>
      </c>
      <c r="C385">
        <v>11</v>
      </c>
    </row>
    <row r="386" spans="1:3" x14ac:dyDescent="0.3">
      <c r="A386" t="s">
        <v>66</v>
      </c>
      <c r="B386" t="s">
        <v>359</v>
      </c>
      <c r="C386">
        <v>11</v>
      </c>
    </row>
    <row r="387" spans="1:3" x14ac:dyDescent="0.3">
      <c r="A387" t="s">
        <v>70</v>
      </c>
      <c r="B387" t="s">
        <v>359</v>
      </c>
      <c r="C387">
        <v>11</v>
      </c>
    </row>
    <row r="388" spans="1:3" x14ac:dyDescent="0.3">
      <c r="A388" t="s">
        <v>72</v>
      </c>
      <c r="B388" t="s">
        <v>359</v>
      </c>
      <c r="C388">
        <v>11</v>
      </c>
    </row>
    <row r="389" spans="1:3" x14ac:dyDescent="0.3">
      <c r="A389" t="s">
        <v>77</v>
      </c>
      <c r="B389" t="s">
        <v>359</v>
      </c>
      <c r="C389">
        <v>11</v>
      </c>
    </row>
    <row r="390" spans="1:3" x14ac:dyDescent="0.3">
      <c r="A390" t="s">
        <v>78</v>
      </c>
      <c r="B390" t="s">
        <v>359</v>
      </c>
      <c r="C390">
        <v>11</v>
      </c>
    </row>
    <row r="391" spans="1:3" x14ac:dyDescent="0.3">
      <c r="A391" t="s">
        <v>96</v>
      </c>
      <c r="B391" t="s">
        <v>359</v>
      </c>
      <c r="C391">
        <v>11</v>
      </c>
    </row>
    <row r="392" spans="1:3" x14ac:dyDescent="0.3">
      <c r="A392" t="s">
        <v>106</v>
      </c>
      <c r="B392" t="s">
        <v>359</v>
      </c>
      <c r="C392">
        <v>11</v>
      </c>
    </row>
    <row r="393" spans="1:3" x14ac:dyDescent="0.3">
      <c r="A393" t="s">
        <v>115</v>
      </c>
      <c r="B393" t="s">
        <v>359</v>
      </c>
      <c r="C393">
        <v>11</v>
      </c>
    </row>
    <row r="394" spans="1:3" x14ac:dyDescent="0.3">
      <c r="A394" t="s">
        <v>123</v>
      </c>
      <c r="B394" t="s">
        <v>359</v>
      </c>
      <c r="C394">
        <v>11</v>
      </c>
    </row>
    <row r="395" spans="1:3" x14ac:dyDescent="0.3">
      <c r="A395" t="s">
        <v>127</v>
      </c>
      <c r="B395" t="s">
        <v>359</v>
      </c>
      <c r="C395">
        <v>11</v>
      </c>
    </row>
    <row r="396" spans="1:3" x14ac:dyDescent="0.3">
      <c r="A396" t="s">
        <v>145</v>
      </c>
      <c r="B396" t="s">
        <v>359</v>
      </c>
      <c r="C396">
        <v>11</v>
      </c>
    </row>
    <row r="397" spans="1:3" x14ac:dyDescent="0.3">
      <c r="A397" t="s">
        <v>156</v>
      </c>
      <c r="B397" t="s">
        <v>359</v>
      </c>
      <c r="C397">
        <v>11</v>
      </c>
    </row>
    <row r="398" spans="1:3" x14ac:dyDescent="0.3">
      <c r="A398" t="s">
        <v>164</v>
      </c>
      <c r="B398" t="s">
        <v>359</v>
      </c>
      <c r="C398">
        <v>11</v>
      </c>
    </row>
    <row r="399" spans="1:3" x14ac:dyDescent="0.3">
      <c r="A399" t="s">
        <v>177</v>
      </c>
      <c r="B399" t="s">
        <v>359</v>
      </c>
      <c r="C399">
        <v>11</v>
      </c>
    </row>
    <row r="400" spans="1:3" x14ac:dyDescent="0.3">
      <c r="A400" t="s">
        <v>185</v>
      </c>
      <c r="B400" t="s">
        <v>359</v>
      </c>
      <c r="C400">
        <v>11</v>
      </c>
    </row>
    <row r="401" spans="1:3" x14ac:dyDescent="0.3">
      <c r="A401" t="s">
        <v>197</v>
      </c>
      <c r="B401" t="s">
        <v>359</v>
      </c>
      <c r="C401">
        <v>11</v>
      </c>
    </row>
    <row r="402" spans="1:3" x14ac:dyDescent="0.3">
      <c r="A402" t="s">
        <v>200</v>
      </c>
      <c r="B402" t="s">
        <v>359</v>
      </c>
      <c r="C402">
        <v>11</v>
      </c>
    </row>
    <row r="403" spans="1:3" x14ac:dyDescent="0.3">
      <c r="A403" t="s">
        <v>201</v>
      </c>
      <c r="B403" t="s">
        <v>359</v>
      </c>
      <c r="C403">
        <v>11</v>
      </c>
    </row>
    <row r="404" spans="1:3" x14ac:dyDescent="0.3">
      <c r="A404" t="s">
        <v>211</v>
      </c>
      <c r="B404" t="s">
        <v>359</v>
      </c>
      <c r="C404">
        <v>11</v>
      </c>
    </row>
    <row r="405" spans="1:3" x14ac:dyDescent="0.3">
      <c r="A405" t="s">
        <v>223</v>
      </c>
      <c r="B405" t="s">
        <v>359</v>
      </c>
      <c r="C405">
        <v>11</v>
      </c>
    </row>
    <row r="406" spans="1:3" x14ac:dyDescent="0.3">
      <c r="A406" t="s">
        <v>238</v>
      </c>
      <c r="B406" t="s">
        <v>359</v>
      </c>
      <c r="C406">
        <v>11</v>
      </c>
    </row>
    <row r="407" spans="1:3" x14ac:dyDescent="0.3">
      <c r="A407" t="s">
        <v>245</v>
      </c>
      <c r="B407" t="s">
        <v>359</v>
      </c>
      <c r="C407">
        <v>11</v>
      </c>
    </row>
    <row r="408" spans="1:3" x14ac:dyDescent="0.3">
      <c r="A408" t="s">
        <v>248</v>
      </c>
      <c r="B408" t="s">
        <v>359</v>
      </c>
      <c r="C408">
        <v>11</v>
      </c>
    </row>
    <row r="409" spans="1:3" x14ac:dyDescent="0.3">
      <c r="A409" t="s">
        <v>255</v>
      </c>
      <c r="B409" t="s">
        <v>359</v>
      </c>
      <c r="C409">
        <v>11</v>
      </c>
    </row>
    <row r="410" spans="1:3" x14ac:dyDescent="0.3">
      <c r="A410" t="s">
        <v>270</v>
      </c>
      <c r="B410" t="s">
        <v>359</v>
      </c>
      <c r="C410">
        <v>11</v>
      </c>
    </row>
    <row r="411" spans="1:3" x14ac:dyDescent="0.3">
      <c r="A411" t="s">
        <v>278</v>
      </c>
      <c r="B411" t="s">
        <v>359</v>
      </c>
      <c r="C411">
        <v>11</v>
      </c>
    </row>
    <row r="412" spans="1:3" x14ac:dyDescent="0.3">
      <c r="A412" t="s">
        <v>284</v>
      </c>
      <c r="B412" t="s">
        <v>359</v>
      </c>
      <c r="C412">
        <v>11</v>
      </c>
    </row>
    <row r="413" spans="1:3" x14ac:dyDescent="0.3">
      <c r="A413" t="s">
        <v>303</v>
      </c>
      <c r="B413" t="s">
        <v>359</v>
      </c>
      <c r="C413">
        <v>11</v>
      </c>
    </row>
    <row r="414" spans="1:3" x14ac:dyDescent="0.3">
      <c r="A414" t="s">
        <v>315</v>
      </c>
      <c r="B414" t="s">
        <v>359</v>
      </c>
      <c r="C414">
        <v>11</v>
      </c>
    </row>
    <row r="415" spans="1:3" x14ac:dyDescent="0.3">
      <c r="A415" t="s">
        <v>321</v>
      </c>
      <c r="B415" t="s">
        <v>359</v>
      </c>
      <c r="C415">
        <v>11</v>
      </c>
    </row>
    <row r="416" spans="1:3" x14ac:dyDescent="0.3">
      <c r="A416" t="s">
        <v>324</v>
      </c>
      <c r="B416" t="s">
        <v>359</v>
      </c>
      <c r="C416">
        <v>11</v>
      </c>
    </row>
    <row r="417" spans="1:3" x14ac:dyDescent="0.3">
      <c r="A417" t="s">
        <v>327</v>
      </c>
      <c r="B417" t="s">
        <v>359</v>
      </c>
      <c r="C417">
        <v>11</v>
      </c>
    </row>
    <row r="418" spans="1:3" x14ac:dyDescent="0.3">
      <c r="A418" t="s">
        <v>330</v>
      </c>
      <c r="B418" t="s">
        <v>359</v>
      </c>
      <c r="C418">
        <v>11</v>
      </c>
    </row>
    <row r="419" spans="1:3" x14ac:dyDescent="0.3">
      <c r="A419" t="s">
        <v>331</v>
      </c>
      <c r="B419" t="s">
        <v>359</v>
      </c>
      <c r="C419">
        <v>11</v>
      </c>
    </row>
    <row r="420" spans="1:3" x14ac:dyDescent="0.3">
      <c r="A420" t="s">
        <v>338</v>
      </c>
      <c r="B420" t="s">
        <v>359</v>
      </c>
      <c r="C420">
        <v>11</v>
      </c>
    </row>
    <row r="421" spans="1:3" x14ac:dyDescent="0.3">
      <c r="A421" t="s">
        <v>352</v>
      </c>
      <c r="B421" t="s">
        <v>359</v>
      </c>
      <c r="C421">
        <v>11</v>
      </c>
    </row>
    <row r="422" spans="1:3" x14ac:dyDescent="0.3">
      <c r="A422" t="s">
        <v>44</v>
      </c>
      <c r="B422" t="s">
        <v>32</v>
      </c>
      <c r="C422">
        <v>12</v>
      </c>
    </row>
    <row r="423" spans="1:3" x14ac:dyDescent="0.3">
      <c r="A423" t="s">
        <v>50</v>
      </c>
      <c r="B423" t="s">
        <v>32</v>
      </c>
      <c r="C423">
        <v>12</v>
      </c>
    </row>
    <row r="424" spans="1:3" x14ac:dyDescent="0.3">
      <c r="A424" t="s">
        <v>110</v>
      </c>
      <c r="B424" t="s">
        <v>32</v>
      </c>
      <c r="C424">
        <v>12</v>
      </c>
    </row>
    <row r="425" spans="1:3" x14ac:dyDescent="0.3">
      <c r="A425" t="s">
        <v>112</v>
      </c>
      <c r="B425" t="s">
        <v>32</v>
      </c>
      <c r="C425">
        <v>12</v>
      </c>
    </row>
    <row r="426" spans="1:3" x14ac:dyDescent="0.3">
      <c r="A426" t="s">
        <v>154</v>
      </c>
      <c r="B426" t="s">
        <v>32</v>
      </c>
      <c r="C426">
        <v>12</v>
      </c>
    </row>
    <row r="427" spans="1:3" x14ac:dyDescent="0.3">
      <c r="A427" t="s">
        <v>166</v>
      </c>
      <c r="B427" t="s">
        <v>32</v>
      </c>
      <c r="C427">
        <v>12</v>
      </c>
    </row>
    <row r="428" spans="1:3" x14ac:dyDescent="0.3">
      <c r="A428" t="s">
        <v>176</v>
      </c>
      <c r="B428" t="s">
        <v>32</v>
      </c>
      <c r="C428">
        <v>12</v>
      </c>
    </row>
    <row r="429" spans="1:3" x14ac:dyDescent="0.3">
      <c r="A429" t="s">
        <v>187</v>
      </c>
      <c r="B429" t="s">
        <v>32</v>
      </c>
      <c r="C429">
        <v>12</v>
      </c>
    </row>
    <row r="430" spans="1:3" x14ac:dyDescent="0.3">
      <c r="A430" t="s">
        <v>214</v>
      </c>
      <c r="B430" t="s">
        <v>32</v>
      </c>
      <c r="C430">
        <v>12</v>
      </c>
    </row>
    <row r="431" spans="1:3" x14ac:dyDescent="0.3">
      <c r="A431" t="s">
        <v>216</v>
      </c>
      <c r="B431" t="s">
        <v>32</v>
      </c>
      <c r="C431">
        <v>12</v>
      </c>
    </row>
    <row r="432" spans="1:3" x14ac:dyDescent="0.3">
      <c r="A432" t="s">
        <v>266</v>
      </c>
      <c r="B432" t="s">
        <v>32</v>
      </c>
      <c r="C432">
        <v>12</v>
      </c>
    </row>
    <row r="433" spans="1:3" x14ac:dyDescent="0.3">
      <c r="A433" t="s">
        <v>289</v>
      </c>
      <c r="B433" t="s">
        <v>32</v>
      </c>
      <c r="C433">
        <v>12</v>
      </c>
    </row>
    <row r="434" spans="1:3" x14ac:dyDescent="0.3">
      <c r="A434" t="s">
        <v>343</v>
      </c>
      <c r="B434" t="s">
        <v>32</v>
      </c>
      <c r="C434">
        <v>12</v>
      </c>
    </row>
    <row r="435" spans="1:3" x14ac:dyDescent="0.3">
      <c r="A435" t="s">
        <v>33</v>
      </c>
      <c r="B435" t="s">
        <v>359</v>
      </c>
      <c r="C435">
        <v>12</v>
      </c>
    </row>
    <row r="436" spans="1:3" x14ac:dyDescent="0.3">
      <c r="A436" t="s">
        <v>36</v>
      </c>
      <c r="B436" t="s">
        <v>359</v>
      </c>
      <c r="C436">
        <v>12</v>
      </c>
    </row>
    <row r="437" spans="1:3" x14ac:dyDescent="0.3">
      <c r="A437" t="s">
        <v>40</v>
      </c>
      <c r="B437" t="s">
        <v>359</v>
      </c>
      <c r="C437">
        <v>12</v>
      </c>
    </row>
    <row r="438" spans="1:3" x14ac:dyDescent="0.3">
      <c r="A438" t="s">
        <v>44</v>
      </c>
      <c r="B438" t="s">
        <v>359</v>
      </c>
      <c r="C438">
        <v>12</v>
      </c>
    </row>
    <row r="439" spans="1:3" x14ac:dyDescent="0.3">
      <c r="A439" t="s">
        <v>57</v>
      </c>
      <c r="B439" t="s">
        <v>359</v>
      </c>
      <c r="C439">
        <v>12</v>
      </c>
    </row>
    <row r="440" spans="1:3" x14ac:dyDescent="0.3">
      <c r="A440" t="s">
        <v>58</v>
      </c>
      <c r="B440" t="s">
        <v>359</v>
      </c>
      <c r="C440">
        <v>12</v>
      </c>
    </row>
    <row r="441" spans="1:3" x14ac:dyDescent="0.3">
      <c r="A441" t="s">
        <v>63</v>
      </c>
      <c r="B441" t="s">
        <v>359</v>
      </c>
      <c r="C441">
        <v>12</v>
      </c>
    </row>
    <row r="442" spans="1:3" x14ac:dyDescent="0.3">
      <c r="A442" t="s">
        <v>69</v>
      </c>
      <c r="B442" t="s">
        <v>359</v>
      </c>
      <c r="C442">
        <v>12</v>
      </c>
    </row>
    <row r="443" spans="1:3" x14ac:dyDescent="0.3">
      <c r="A443" t="s">
        <v>80</v>
      </c>
      <c r="B443" t="s">
        <v>359</v>
      </c>
      <c r="C443">
        <v>12</v>
      </c>
    </row>
    <row r="444" spans="1:3" x14ac:dyDescent="0.3">
      <c r="A444" t="s">
        <v>85</v>
      </c>
      <c r="B444" t="s">
        <v>359</v>
      </c>
      <c r="C444">
        <v>12</v>
      </c>
    </row>
    <row r="445" spans="1:3" x14ac:dyDescent="0.3">
      <c r="A445" t="s">
        <v>87</v>
      </c>
      <c r="B445" t="s">
        <v>359</v>
      </c>
      <c r="C445">
        <v>12</v>
      </c>
    </row>
    <row r="446" spans="1:3" x14ac:dyDescent="0.3">
      <c r="A446" t="s">
        <v>97</v>
      </c>
      <c r="B446" t="s">
        <v>359</v>
      </c>
      <c r="C446">
        <v>12</v>
      </c>
    </row>
    <row r="447" spans="1:3" x14ac:dyDescent="0.3">
      <c r="A447" t="s">
        <v>100</v>
      </c>
      <c r="B447" t="s">
        <v>359</v>
      </c>
      <c r="C447">
        <v>12</v>
      </c>
    </row>
    <row r="448" spans="1:3" x14ac:dyDescent="0.3">
      <c r="A448" t="s">
        <v>104</v>
      </c>
      <c r="B448" t="s">
        <v>359</v>
      </c>
      <c r="C448">
        <v>12</v>
      </c>
    </row>
    <row r="449" spans="1:3" x14ac:dyDescent="0.3">
      <c r="A449" t="s">
        <v>117</v>
      </c>
      <c r="B449" t="s">
        <v>359</v>
      </c>
      <c r="C449">
        <v>12</v>
      </c>
    </row>
    <row r="450" spans="1:3" x14ac:dyDescent="0.3">
      <c r="A450" t="s">
        <v>130</v>
      </c>
      <c r="B450" t="s">
        <v>359</v>
      </c>
      <c r="C450">
        <v>12</v>
      </c>
    </row>
    <row r="451" spans="1:3" x14ac:dyDescent="0.3">
      <c r="A451" t="s">
        <v>138</v>
      </c>
      <c r="B451" t="s">
        <v>359</v>
      </c>
      <c r="C451">
        <v>12</v>
      </c>
    </row>
    <row r="452" spans="1:3" x14ac:dyDescent="0.3">
      <c r="A452" t="s">
        <v>143</v>
      </c>
      <c r="B452" t="s">
        <v>359</v>
      </c>
      <c r="C452">
        <v>12</v>
      </c>
    </row>
    <row r="453" spans="1:3" x14ac:dyDescent="0.3">
      <c r="A453" t="s">
        <v>146</v>
      </c>
      <c r="B453" t="s">
        <v>359</v>
      </c>
      <c r="C453">
        <v>12</v>
      </c>
    </row>
    <row r="454" spans="1:3" x14ac:dyDescent="0.3">
      <c r="A454" t="s">
        <v>172</v>
      </c>
      <c r="B454" t="s">
        <v>359</v>
      </c>
      <c r="C454">
        <v>12</v>
      </c>
    </row>
    <row r="455" spans="1:3" x14ac:dyDescent="0.3">
      <c r="A455" t="s">
        <v>179</v>
      </c>
      <c r="B455" t="s">
        <v>359</v>
      </c>
      <c r="C455">
        <v>12</v>
      </c>
    </row>
    <row r="456" spans="1:3" x14ac:dyDescent="0.3">
      <c r="A456" t="s">
        <v>180</v>
      </c>
      <c r="B456" t="s">
        <v>359</v>
      </c>
      <c r="C456">
        <v>12</v>
      </c>
    </row>
    <row r="457" spans="1:3" x14ac:dyDescent="0.3">
      <c r="A457" t="s">
        <v>192</v>
      </c>
      <c r="B457" t="s">
        <v>359</v>
      </c>
      <c r="C457">
        <v>12</v>
      </c>
    </row>
    <row r="458" spans="1:3" x14ac:dyDescent="0.3">
      <c r="A458" t="s">
        <v>203</v>
      </c>
      <c r="B458" t="s">
        <v>359</v>
      </c>
      <c r="C458">
        <v>12</v>
      </c>
    </row>
    <row r="459" spans="1:3" x14ac:dyDescent="0.3">
      <c r="A459" t="s">
        <v>207</v>
      </c>
      <c r="B459" t="s">
        <v>359</v>
      </c>
      <c r="C459">
        <v>12</v>
      </c>
    </row>
    <row r="460" spans="1:3" x14ac:dyDescent="0.3">
      <c r="A460" t="s">
        <v>214</v>
      </c>
      <c r="B460" t="s">
        <v>359</v>
      </c>
      <c r="C460">
        <v>12</v>
      </c>
    </row>
    <row r="461" spans="1:3" x14ac:dyDescent="0.3">
      <c r="A461" t="s">
        <v>215</v>
      </c>
      <c r="B461" t="s">
        <v>359</v>
      </c>
      <c r="C461">
        <v>12</v>
      </c>
    </row>
    <row r="462" spans="1:3" x14ac:dyDescent="0.3">
      <c r="A462" t="s">
        <v>220</v>
      </c>
      <c r="B462" t="s">
        <v>359</v>
      </c>
      <c r="C462">
        <v>12</v>
      </c>
    </row>
    <row r="463" spans="1:3" x14ac:dyDescent="0.3">
      <c r="A463" t="s">
        <v>228</v>
      </c>
      <c r="B463" t="s">
        <v>359</v>
      </c>
      <c r="C463">
        <v>12</v>
      </c>
    </row>
    <row r="464" spans="1:3" x14ac:dyDescent="0.3">
      <c r="A464" t="s">
        <v>229</v>
      </c>
      <c r="B464" t="s">
        <v>359</v>
      </c>
      <c r="C464">
        <v>12</v>
      </c>
    </row>
    <row r="465" spans="1:3" x14ac:dyDescent="0.3">
      <c r="A465" t="s">
        <v>231</v>
      </c>
      <c r="B465" t="s">
        <v>359</v>
      </c>
      <c r="C465">
        <v>12</v>
      </c>
    </row>
    <row r="466" spans="1:3" x14ac:dyDescent="0.3">
      <c r="A466" t="s">
        <v>249</v>
      </c>
      <c r="B466" t="s">
        <v>359</v>
      </c>
      <c r="C466">
        <v>12</v>
      </c>
    </row>
    <row r="467" spans="1:3" x14ac:dyDescent="0.3">
      <c r="A467" t="s">
        <v>253</v>
      </c>
      <c r="B467" t="s">
        <v>359</v>
      </c>
      <c r="C467">
        <v>12</v>
      </c>
    </row>
    <row r="468" spans="1:3" x14ac:dyDescent="0.3">
      <c r="A468" t="s">
        <v>259</v>
      </c>
      <c r="B468" t="s">
        <v>359</v>
      </c>
      <c r="C468">
        <v>12</v>
      </c>
    </row>
    <row r="469" spans="1:3" x14ac:dyDescent="0.3">
      <c r="A469" t="s">
        <v>260</v>
      </c>
      <c r="B469" t="s">
        <v>359</v>
      </c>
      <c r="C469">
        <v>12</v>
      </c>
    </row>
    <row r="470" spans="1:3" x14ac:dyDescent="0.3">
      <c r="A470" t="s">
        <v>275</v>
      </c>
      <c r="B470" t="s">
        <v>359</v>
      </c>
      <c r="C470">
        <v>12</v>
      </c>
    </row>
    <row r="471" spans="1:3" x14ac:dyDescent="0.3">
      <c r="A471" t="s">
        <v>280</v>
      </c>
      <c r="B471" t="s">
        <v>359</v>
      </c>
      <c r="C471">
        <v>12</v>
      </c>
    </row>
    <row r="472" spans="1:3" x14ac:dyDescent="0.3">
      <c r="A472" t="s">
        <v>299</v>
      </c>
      <c r="B472" t="s">
        <v>359</v>
      </c>
      <c r="C472">
        <v>12</v>
      </c>
    </row>
    <row r="473" spans="1:3" x14ac:dyDescent="0.3">
      <c r="A473" t="s">
        <v>304</v>
      </c>
      <c r="B473" t="s">
        <v>359</v>
      </c>
      <c r="C473">
        <v>12</v>
      </c>
    </row>
    <row r="474" spans="1:3" x14ac:dyDescent="0.3">
      <c r="A474" t="s">
        <v>325</v>
      </c>
      <c r="B474" t="s">
        <v>359</v>
      </c>
      <c r="C474">
        <v>12</v>
      </c>
    </row>
    <row r="475" spans="1:3" x14ac:dyDescent="0.3">
      <c r="A475" t="s">
        <v>328</v>
      </c>
      <c r="B475" t="s">
        <v>359</v>
      </c>
      <c r="C475">
        <v>12</v>
      </c>
    </row>
    <row r="476" spans="1:3" x14ac:dyDescent="0.3">
      <c r="A476" t="s">
        <v>350</v>
      </c>
      <c r="B476" t="s">
        <v>359</v>
      </c>
      <c r="C476">
        <v>12</v>
      </c>
    </row>
    <row r="477" spans="1:3" x14ac:dyDescent="0.3">
      <c r="A477" t="s">
        <v>351</v>
      </c>
      <c r="B477" t="s">
        <v>359</v>
      </c>
      <c r="C477">
        <v>12</v>
      </c>
    </row>
    <row r="478" spans="1:3" x14ac:dyDescent="0.3">
      <c r="A478" t="s">
        <v>91</v>
      </c>
      <c r="B478" t="s">
        <v>32</v>
      </c>
      <c r="C478">
        <v>13</v>
      </c>
    </row>
    <row r="479" spans="1:3" x14ac:dyDescent="0.3">
      <c r="A479" t="s">
        <v>174</v>
      </c>
      <c r="B479" t="s">
        <v>32</v>
      </c>
      <c r="C479">
        <v>13</v>
      </c>
    </row>
    <row r="480" spans="1:3" x14ac:dyDescent="0.3">
      <c r="A480" t="s">
        <v>293</v>
      </c>
      <c r="B480" t="s">
        <v>32</v>
      </c>
      <c r="C480">
        <v>13</v>
      </c>
    </row>
    <row r="481" spans="1:3" x14ac:dyDescent="0.3">
      <c r="A481" t="s">
        <v>297</v>
      </c>
      <c r="B481" t="s">
        <v>32</v>
      </c>
      <c r="C481">
        <v>13</v>
      </c>
    </row>
    <row r="482" spans="1:3" x14ac:dyDescent="0.3">
      <c r="A482" t="s">
        <v>298</v>
      </c>
      <c r="B482" t="s">
        <v>32</v>
      </c>
      <c r="C482">
        <v>13</v>
      </c>
    </row>
    <row r="483" spans="1:3" x14ac:dyDescent="0.3">
      <c r="A483" t="s">
        <v>304</v>
      </c>
      <c r="B483" t="s">
        <v>32</v>
      </c>
      <c r="C483">
        <v>13</v>
      </c>
    </row>
    <row r="484" spans="1:3" x14ac:dyDescent="0.3">
      <c r="A484" t="s">
        <v>349</v>
      </c>
      <c r="B484" t="s">
        <v>32</v>
      </c>
      <c r="C484">
        <v>13</v>
      </c>
    </row>
    <row r="485" spans="1:3" x14ac:dyDescent="0.3">
      <c r="A485" t="s">
        <v>45</v>
      </c>
      <c r="B485" t="s">
        <v>359</v>
      </c>
      <c r="C485">
        <v>13</v>
      </c>
    </row>
    <row r="486" spans="1:3" x14ac:dyDescent="0.3">
      <c r="A486" t="s">
        <v>48</v>
      </c>
      <c r="B486" t="s">
        <v>359</v>
      </c>
      <c r="C486">
        <v>13</v>
      </c>
    </row>
    <row r="487" spans="1:3" x14ac:dyDescent="0.3">
      <c r="A487" t="s">
        <v>52</v>
      </c>
      <c r="B487" t="s">
        <v>359</v>
      </c>
      <c r="C487">
        <v>13</v>
      </c>
    </row>
    <row r="488" spans="1:3" x14ac:dyDescent="0.3">
      <c r="A488" t="s">
        <v>76</v>
      </c>
      <c r="B488" t="s">
        <v>359</v>
      </c>
      <c r="C488">
        <v>13</v>
      </c>
    </row>
    <row r="489" spans="1:3" x14ac:dyDescent="0.3">
      <c r="A489" t="s">
        <v>105</v>
      </c>
      <c r="B489" t="s">
        <v>359</v>
      </c>
      <c r="C489">
        <v>13</v>
      </c>
    </row>
    <row r="490" spans="1:3" x14ac:dyDescent="0.3">
      <c r="A490" t="s">
        <v>110</v>
      </c>
      <c r="B490" t="s">
        <v>359</v>
      </c>
      <c r="C490">
        <v>13</v>
      </c>
    </row>
    <row r="491" spans="1:3" x14ac:dyDescent="0.3">
      <c r="A491" t="s">
        <v>121</v>
      </c>
      <c r="B491" t="s">
        <v>359</v>
      </c>
      <c r="C491">
        <v>13</v>
      </c>
    </row>
    <row r="492" spans="1:3" x14ac:dyDescent="0.3">
      <c r="A492" t="s">
        <v>122</v>
      </c>
      <c r="B492" t="s">
        <v>359</v>
      </c>
      <c r="C492">
        <v>13</v>
      </c>
    </row>
    <row r="493" spans="1:3" x14ac:dyDescent="0.3">
      <c r="A493" t="s">
        <v>125</v>
      </c>
      <c r="B493" t="s">
        <v>359</v>
      </c>
      <c r="C493">
        <v>13</v>
      </c>
    </row>
    <row r="494" spans="1:3" x14ac:dyDescent="0.3">
      <c r="A494" t="s">
        <v>140</v>
      </c>
      <c r="B494" t="s">
        <v>359</v>
      </c>
      <c r="C494">
        <v>13</v>
      </c>
    </row>
    <row r="495" spans="1:3" x14ac:dyDescent="0.3">
      <c r="A495" t="s">
        <v>147</v>
      </c>
      <c r="B495" t="s">
        <v>359</v>
      </c>
      <c r="C495">
        <v>13</v>
      </c>
    </row>
    <row r="496" spans="1:3" x14ac:dyDescent="0.3">
      <c r="A496" t="s">
        <v>149</v>
      </c>
      <c r="B496" t="s">
        <v>359</v>
      </c>
      <c r="C496">
        <v>13</v>
      </c>
    </row>
    <row r="497" spans="1:3" x14ac:dyDescent="0.3">
      <c r="A497" t="s">
        <v>152</v>
      </c>
      <c r="B497" t="s">
        <v>359</v>
      </c>
      <c r="C497">
        <v>13</v>
      </c>
    </row>
    <row r="498" spans="1:3" x14ac:dyDescent="0.3">
      <c r="A498" t="s">
        <v>165</v>
      </c>
      <c r="B498" t="s">
        <v>359</v>
      </c>
      <c r="C498">
        <v>13</v>
      </c>
    </row>
    <row r="499" spans="1:3" x14ac:dyDescent="0.3">
      <c r="A499" t="s">
        <v>173</v>
      </c>
      <c r="B499" t="s">
        <v>359</v>
      </c>
      <c r="C499">
        <v>13</v>
      </c>
    </row>
    <row r="500" spans="1:3" x14ac:dyDescent="0.3">
      <c r="A500" t="s">
        <v>174</v>
      </c>
      <c r="B500" t="s">
        <v>359</v>
      </c>
      <c r="C500">
        <v>13</v>
      </c>
    </row>
    <row r="501" spans="1:3" x14ac:dyDescent="0.3">
      <c r="A501" t="s">
        <v>190</v>
      </c>
      <c r="B501" t="s">
        <v>359</v>
      </c>
      <c r="C501">
        <v>13</v>
      </c>
    </row>
    <row r="502" spans="1:3" x14ac:dyDescent="0.3">
      <c r="A502" t="s">
        <v>196</v>
      </c>
      <c r="B502" t="s">
        <v>359</v>
      </c>
      <c r="C502">
        <v>13</v>
      </c>
    </row>
    <row r="503" spans="1:3" x14ac:dyDescent="0.3">
      <c r="A503" t="s">
        <v>205</v>
      </c>
      <c r="B503" t="s">
        <v>359</v>
      </c>
      <c r="C503">
        <v>13</v>
      </c>
    </row>
    <row r="504" spans="1:3" x14ac:dyDescent="0.3">
      <c r="A504" t="s">
        <v>206</v>
      </c>
      <c r="B504" t="s">
        <v>359</v>
      </c>
      <c r="C504">
        <v>13</v>
      </c>
    </row>
    <row r="505" spans="1:3" x14ac:dyDescent="0.3">
      <c r="A505" t="s">
        <v>212</v>
      </c>
      <c r="B505" t="s">
        <v>359</v>
      </c>
      <c r="C505">
        <v>13</v>
      </c>
    </row>
    <row r="506" spans="1:3" x14ac:dyDescent="0.3">
      <c r="A506" t="s">
        <v>218</v>
      </c>
      <c r="B506" t="s">
        <v>359</v>
      </c>
      <c r="C506">
        <v>13</v>
      </c>
    </row>
    <row r="507" spans="1:3" x14ac:dyDescent="0.3">
      <c r="A507" t="s">
        <v>222</v>
      </c>
      <c r="B507" t="s">
        <v>359</v>
      </c>
      <c r="C507">
        <v>13</v>
      </c>
    </row>
    <row r="508" spans="1:3" x14ac:dyDescent="0.3">
      <c r="A508" t="s">
        <v>232</v>
      </c>
      <c r="B508" t="s">
        <v>359</v>
      </c>
      <c r="C508">
        <v>13</v>
      </c>
    </row>
    <row r="509" spans="1:3" x14ac:dyDescent="0.3">
      <c r="A509" t="s">
        <v>241</v>
      </c>
      <c r="B509" t="s">
        <v>359</v>
      </c>
      <c r="C509">
        <v>13</v>
      </c>
    </row>
    <row r="510" spans="1:3" x14ac:dyDescent="0.3">
      <c r="A510" t="s">
        <v>251</v>
      </c>
      <c r="B510" t="s">
        <v>359</v>
      </c>
      <c r="C510">
        <v>13</v>
      </c>
    </row>
    <row r="511" spans="1:3" x14ac:dyDescent="0.3">
      <c r="A511" t="s">
        <v>254</v>
      </c>
      <c r="B511" t="s">
        <v>359</v>
      </c>
      <c r="C511">
        <v>13</v>
      </c>
    </row>
    <row r="512" spans="1:3" x14ac:dyDescent="0.3">
      <c r="A512" t="s">
        <v>261</v>
      </c>
      <c r="B512" t="s">
        <v>359</v>
      </c>
      <c r="C512">
        <v>13</v>
      </c>
    </row>
    <row r="513" spans="1:3" x14ac:dyDescent="0.3">
      <c r="A513" t="s">
        <v>262</v>
      </c>
      <c r="B513" t="s">
        <v>359</v>
      </c>
      <c r="C513">
        <v>13</v>
      </c>
    </row>
    <row r="514" spans="1:3" x14ac:dyDescent="0.3">
      <c r="A514" t="s">
        <v>268</v>
      </c>
      <c r="B514" t="s">
        <v>359</v>
      </c>
      <c r="C514">
        <v>13</v>
      </c>
    </row>
    <row r="515" spans="1:3" x14ac:dyDescent="0.3">
      <c r="A515" t="s">
        <v>271</v>
      </c>
      <c r="B515" t="s">
        <v>359</v>
      </c>
      <c r="C515">
        <v>13</v>
      </c>
    </row>
    <row r="516" spans="1:3" x14ac:dyDescent="0.3">
      <c r="A516" t="s">
        <v>272</v>
      </c>
      <c r="B516" t="s">
        <v>359</v>
      </c>
      <c r="C516">
        <v>13</v>
      </c>
    </row>
    <row r="517" spans="1:3" x14ac:dyDescent="0.3">
      <c r="A517" t="s">
        <v>276</v>
      </c>
      <c r="B517" t="s">
        <v>359</v>
      </c>
      <c r="C517">
        <v>13</v>
      </c>
    </row>
    <row r="518" spans="1:3" x14ac:dyDescent="0.3">
      <c r="A518" t="s">
        <v>281</v>
      </c>
      <c r="B518" t="s">
        <v>359</v>
      </c>
      <c r="C518">
        <v>13</v>
      </c>
    </row>
    <row r="519" spans="1:3" x14ac:dyDescent="0.3">
      <c r="A519" t="s">
        <v>289</v>
      </c>
      <c r="B519" t="s">
        <v>359</v>
      </c>
      <c r="C519">
        <v>13</v>
      </c>
    </row>
    <row r="520" spans="1:3" x14ac:dyDescent="0.3">
      <c r="A520" t="s">
        <v>290</v>
      </c>
      <c r="B520" t="s">
        <v>359</v>
      </c>
      <c r="C520">
        <v>13</v>
      </c>
    </row>
    <row r="521" spans="1:3" x14ac:dyDescent="0.3">
      <c r="A521" t="s">
        <v>302</v>
      </c>
      <c r="B521" t="s">
        <v>359</v>
      </c>
      <c r="C521">
        <v>13</v>
      </c>
    </row>
    <row r="522" spans="1:3" x14ac:dyDescent="0.3">
      <c r="A522" t="s">
        <v>308</v>
      </c>
      <c r="B522" t="s">
        <v>359</v>
      </c>
      <c r="C522">
        <v>13</v>
      </c>
    </row>
    <row r="523" spans="1:3" x14ac:dyDescent="0.3">
      <c r="A523" t="s">
        <v>311</v>
      </c>
      <c r="B523" t="s">
        <v>359</v>
      </c>
      <c r="C523">
        <v>13</v>
      </c>
    </row>
    <row r="524" spans="1:3" x14ac:dyDescent="0.3">
      <c r="A524" t="s">
        <v>313</v>
      </c>
      <c r="B524" t="s">
        <v>359</v>
      </c>
      <c r="C524">
        <v>13</v>
      </c>
    </row>
    <row r="525" spans="1:3" x14ac:dyDescent="0.3">
      <c r="A525" t="s">
        <v>336</v>
      </c>
      <c r="B525" t="s">
        <v>359</v>
      </c>
      <c r="C525">
        <v>13</v>
      </c>
    </row>
    <row r="526" spans="1:3" x14ac:dyDescent="0.3">
      <c r="A526" t="s">
        <v>337</v>
      </c>
      <c r="B526" t="s">
        <v>359</v>
      </c>
      <c r="C526">
        <v>13</v>
      </c>
    </row>
    <row r="527" spans="1:3" x14ac:dyDescent="0.3">
      <c r="A527" t="s">
        <v>339</v>
      </c>
      <c r="B527" t="s">
        <v>359</v>
      </c>
      <c r="C527">
        <v>13</v>
      </c>
    </row>
    <row r="528" spans="1:3" x14ac:dyDescent="0.3">
      <c r="A528" t="s">
        <v>341</v>
      </c>
      <c r="B528" t="s">
        <v>359</v>
      </c>
      <c r="C528">
        <v>13</v>
      </c>
    </row>
    <row r="529" spans="1:3" x14ac:dyDescent="0.3">
      <c r="A529" t="s">
        <v>345</v>
      </c>
      <c r="B529" t="s">
        <v>359</v>
      </c>
      <c r="C529">
        <v>13</v>
      </c>
    </row>
    <row r="530" spans="1:3" x14ac:dyDescent="0.3">
      <c r="A530" t="s">
        <v>348</v>
      </c>
      <c r="B530" t="s">
        <v>359</v>
      </c>
      <c r="C530">
        <v>13</v>
      </c>
    </row>
    <row r="531" spans="1:3" x14ac:dyDescent="0.3">
      <c r="A531" t="s">
        <v>41</v>
      </c>
      <c r="B531" t="s">
        <v>32</v>
      </c>
      <c r="C531">
        <v>14</v>
      </c>
    </row>
    <row r="532" spans="1:3" x14ac:dyDescent="0.3">
      <c r="A532" t="s">
        <v>95</v>
      </c>
      <c r="B532" t="s">
        <v>32</v>
      </c>
      <c r="C532">
        <v>14</v>
      </c>
    </row>
    <row r="533" spans="1:3" x14ac:dyDescent="0.3">
      <c r="A533" t="s">
        <v>105</v>
      </c>
      <c r="B533" t="s">
        <v>32</v>
      </c>
      <c r="C533">
        <v>14</v>
      </c>
    </row>
    <row r="534" spans="1:3" x14ac:dyDescent="0.3">
      <c r="A534" t="s">
        <v>198</v>
      </c>
      <c r="B534" t="s">
        <v>32</v>
      </c>
      <c r="C534">
        <v>14</v>
      </c>
    </row>
    <row r="535" spans="1:3" x14ac:dyDescent="0.3">
      <c r="A535" t="s">
        <v>351</v>
      </c>
      <c r="B535" t="s">
        <v>32</v>
      </c>
      <c r="C535">
        <v>14</v>
      </c>
    </row>
    <row r="536" spans="1:3" x14ac:dyDescent="0.3">
      <c r="A536" t="s">
        <v>41</v>
      </c>
      <c r="B536" t="s">
        <v>359</v>
      </c>
      <c r="C536">
        <v>14</v>
      </c>
    </row>
    <row r="537" spans="1:3" x14ac:dyDescent="0.3">
      <c r="A537" t="s">
        <v>53</v>
      </c>
      <c r="B537" t="s">
        <v>359</v>
      </c>
      <c r="C537">
        <v>14</v>
      </c>
    </row>
    <row r="538" spans="1:3" x14ac:dyDescent="0.3">
      <c r="A538" t="s">
        <v>60</v>
      </c>
      <c r="B538" t="s">
        <v>359</v>
      </c>
      <c r="C538">
        <v>14</v>
      </c>
    </row>
    <row r="539" spans="1:3" x14ac:dyDescent="0.3">
      <c r="A539" t="s">
        <v>64</v>
      </c>
      <c r="B539" t="s">
        <v>359</v>
      </c>
      <c r="C539">
        <v>14</v>
      </c>
    </row>
    <row r="540" spans="1:3" x14ac:dyDescent="0.3">
      <c r="A540" t="s">
        <v>68</v>
      </c>
      <c r="B540" t="s">
        <v>359</v>
      </c>
      <c r="C540">
        <v>14</v>
      </c>
    </row>
    <row r="541" spans="1:3" x14ac:dyDescent="0.3">
      <c r="A541" t="s">
        <v>73</v>
      </c>
      <c r="B541" t="s">
        <v>359</v>
      </c>
      <c r="C541">
        <v>14</v>
      </c>
    </row>
    <row r="542" spans="1:3" x14ac:dyDescent="0.3">
      <c r="A542" t="s">
        <v>89</v>
      </c>
      <c r="B542" t="s">
        <v>359</v>
      </c>
      <c r="C542">
        <v>14</v>
      </c>
    </row>
    <row r="543" spans="1:3" x14ac:dyDescent="0.3">
      <c r="A543" t="s">
        <v>94</v>
      </c>
      <c r="B543" t="s">
        <v>359</v>
      </c>
      <c r="C543">
        <v>14</v>
      </c>
    </row>
    <row r="544" spans="1:3" x14ac:dyDescent="0.3">
      <c r="A544" t="s">
        <v>107</v>
      </c>
      <c r="B544" t="s">
        <v>359</v>
      </c>
      <c r="C544">
        <v>14</v>
      </c>
    </row>
    <row r="545" spans="1:3" x14ac:dyDescent="0.3">
      <c r="A545" t="s">
        <v>111</v>
      </c>
      <c r="B545" t="s">
        <v>359</v>
      </c>
      <c r="C545">
        <v>14</v>
      </c>
    </row>
    <row r="546" spans="1:3" x14ac:dyDescent="0.3">
      <c r="A546" t="s">
        <v>112</v>
      </c>
      <c r="B546" t="s">
        <v>359</v>
      </c>
      <c r="C546">
        <v>14</v>
      </c>
    </row>
    <row r="547" spans="1:3" x14ac:dyDescent="0.3">
      <c r="A547" t="s">
        <v>120</v>
      </c>
      <c r="B547" t="s">
        <v>359</v>
      </c>
      <c r="C547">
        <v>14</v>
      </c>
    </row>
    <row r="548" spans="1:3" x14ac:dyDescent="0.3">
      <c r="A548" t="s">
        <v>137</v>
      </c>
      <c r="B548" t="s">
        <v>359</v>
      </c>
      <c r="C548">
        <v>14</v>
      </c>
    </row>
    <row r="549" spans="1:3" x14ac:dyDescent="0.3">
      <c r="A549" t="s">
        <v>157</v>
      </c>
      <c r="B549" t="s">
        <v>359</v>
      </c>
      <c r="C549">
        <v>14</v>
      </c>
    </row>
    <row r="550" spans="1:3" x14ac:dyDescent="0.3">
      <c r="A550" t="s">
        <v>159</v>
      </c>
      <c r="B550" t="s">
        <v>359</v>
      </c>
      <c r="C550">
        <v>14</v>
      </c>
    </row>
    <row r="551" spans="1:3" x14ac:dyDescent="0.3">
      <c r="A551" t="s">
        <v>167</v>
      </c>
      <c r="B551" t="s">
        <v>359</v>
      </c>
      <c r="C551">
        <v>14</v>
      </c>
    </row>
    <row r="552" spans="1:3" x14ac:dyDescent="0.3">
      <c r="A552" t="s">
        <v>169</v>
      </c>
      <c r="B552" t="s">
        <v>359</v>
      </c>
      <c r="C552">
        <v>14</v>
      </c>
    </row>
    <row r="553" spans="1:3" x14ac:dyDescent="0.3">
      <c r="A553" t="s">
        <v>181</v>
      </c>
      <c r="B553" t="s">
        <v>359</v>
      </c>
      <c r="C553">
        <v>14</v>
      </c>
    </row>
    <row r="554" spans="1:3" x14ac:dyDescent="0.3">
      <c r="A554" t="s">
        <v>186</v>
      </c>
      <c r="B554" t="s">
        <v>359</v>
      </c>
      <c r="C554">
        <v>14</v>
      </c>
    </row>
    <row r="555" spans="1:3" x14ac:dyDescent="0.3">
      <c r="A555" t="s">
        <v>194</v>
      </c>
      <c r="B555" t="s">
        <v>359</v>
      </c>
      <c r="C555">
        <v>14</v>
      </c>
    </row>
    <row r="556" spans="1:3" x14ac:dyDescent="0.3">
      <c r="A556" t="s">
        <v>202</v>
      </c>
      <c r="B556" t="s">
        <v>359</v>
      </c>
      <c r="C556">
        <v>14</v>
      </c>
    </row>
    <row r="557" spans="1:3" x14ac:dyDescent="0.3">
      <c r="A557" t="s">
        <v>227</v>
      </c>
      <c r="B557" t="s">
        <v>359</v>
      </c>
      <c r="C557">
        <v>14</v>
      </c>
    </row>
    <row r="558" spans="1:3" x14ac:dyDescent="0.3">
      <c r="A558" t="s">
        <v>243</v>
      </c>
      <c r="B558" t="s">
        <v>359</v>
      </c>
      <c r="C558">
        <v>14</v>
      </c>
    </row>
    <row r="559" spans="1:3" x14ac:dyDescent="0.3">
      <c r="A559" t="s">
        <v>252</v>
      </c>
      <c r="B559" t="s">
        <v>359</v>
      </c>
      <c r="C559">
        <v>14</v>
      </c>
    </row>
    <row r="560" spans="1:3" x14ac:dyDescent="0.3">
      <c r="A560" t="s">
        <v>257</v>
      </c>
      <c r="B560" t="s">
        <v>359</v>
      </c>
      <c r="C560">
        <v>14</v>
      </c>
    </row>
    <row r="561" spans="1:3" x14ac:dyDescent="0.3">
      <c r="A561" t="s">
        <v>265</v>
      </c>
      <c r="B561" t="s">
        <v>359</v>
      </c>
      <c r="C561">
        <v>14</v>
      </c>
    </row>
    <row r="562" spans="1:3" x14ac:dyDescent="0.3">
      <c r="A562" t="s">
        <v>273</v>
      </c>
      <c r="B562" t="s">
        <v>359</v>
      </c>
      <c r="C562">
        <v>14</v>
      </c>
    </row>
    <row r="563" spans="1:3" x14ac:dyDescent="0.3">
      <c r="A563" t="s">
        <v>277</v>
      </c>
      <c r="B563" t="s">
        <v>359</v>
      </c>
      <c r="C563">
        <v>14</v>
      </c>
    </row>
    <row r="564" spans="1:3" x14ac:dyDescent="0.3">
      <c r="A564" t="s">
        <v>279</v>
      </c>
      <c r="B564" t="s">
        <v>359</v>
      </c>
      <c r="C564">
        <v>14</v>
      </c>
    </row>
    <row r="565" spans="1:3" x14ac:dyDescent="0.3">
      <c r="A565" t="s">
        <v>291</v>
      </c>
      <c r="B565" t="s">
        <v>359</v>
      </c>
      <c r="C565">
        <v>14</v>
      </c>
    </row>
    <row r="566" spans="1:3" x14ac:dyDescent="0.3">
      <c r="A566" t="s">
        <v>310</v>
      </c>
      <c r="B566" t="s">
        <v>359</v>
      </c>
      <c r="C566">
        <v>14</v>
      </c>
    </row>
    <row r="567" spans="1:3" x14ac:dyDescent="0.3">
      <c r="A567" t="s">
        <v>319</v>
      </c>
      <c r="B567" t="s">
        <v>359</v>
      </c>
      <c r="C567">
        <v>14</v>
      </c>
    </row>
    <row r="568" spans="1:3" x14ac:dyDescent="0.3">
      <c r="A568" t="s">
        <v>340</v>
      </c>
      <c r="B568" t="s">
        <v>359</v>
      </c>
      <c r="C568">
        <v>14</v>
      </c>
    </row>
    <row r="569" spans="1:3" x14ac:dyDescent="0.3">
      <c r="A569" t="s">
        <v>355</v>
      </c>
      <c r="B569" t="s">
        <v>359</v>
      </c>
      <c r="C569">
        <v>14</v>
      </c>
    </row>
    <row r="570" spans="1:3" x14ac:dyDescent="0.3">
      <c r="A570" t="s">
        <v>357</v>
      </c>
      <c r="B570" t="s">
        <v>359</v>
      </c>
      <c r="C570">
        <v>14</v>
      </c>
    </row>
    <row r="571" spans="1:3" x14ac:dyDescent="0.3">
      <c r="A571" t="s">
        <v>358</v>
      </c>
      <c r="B571" t="s">
        <v>359</v>
      </c>
      <c r="C571">
        <v>14</v>
      </c>
    </row>
    <row r="572" spans="1:3" x14ac:dyDescent="0.3">
      <c r="A572" t="s">
        <v>165</v>
      </c>
      <c r="B572" t="s">
        <v>32</v>
      </c>
      <c r="C572">
        <v>15</v>
      </c>
    </row>
    <row r="573" spans="1:3" x14ac:dyDescent="0.3">
      <c r="A573" t="s">
        <v>190</v>
      </c>
      <c r="B573" t="s">
        <v>32</v>
      </c>
      <c r="C573">
        <v>15</v>
      </c>
    </row>
    <row r="574" spans="1:3" x14ac:dyDescent="0.3">
      <c r="A574" t="s">
        <v>37</v>
      </c>
      <c r="B574" t="s">
        <v>359</v>
      </c>
      <c r="C574">
        <v>15</v>
      </c>
    </row>
    <row r="575" spans="1:3" x14ac:dyDescent="0.3">
      <c r="A575" t="s">
        <v>71</v>
      </c>
      <c r="B575" t="s">
        <v>359</v>
      </c>
      <c r="C575">
        <v>15</v>
      </c>
    </row>
    <row r="576" spans="1:3" x14ac:dyDescent="0.3">
      <c r="A576" t="s">
        <v>75</v>
      </c>
      <c r="B576" t="s">
        <v>359</v>
      </c>
      <c r="C576">
        <v>15</v>
      </c>
    </row>
    <row r="577" spans="1:3" x14ac:dyDescent="0.3">
      <c r="A577" t="s">
        <v>82</v>
      </c>
      <c r="B577" t="s">
        <v>359</v>
      </c>
      <c r="C577">
        <v>15</v>
      </c>
    </row>
    <row r="578" spans="1:3" x14ac:dyDescent="0.3">
      <c r="A578" t="s">
        <v>84</v>
      </c>
      <c r="B578" t="s">
        <v>359</v>
      </c>
      <c r="C578">
        <v>15</v>
      </c>
    </row>
    <row r="579" spans="1:3" x14ac:dyDescent="0.3">
      <c r="A579" t="s">
        <v>88</v>
      </c>
      <c r="B579" t="s">
        <v>359</v>
      </c>
      <c r="C579">
        <v>15</v>
      </c>
    </row>
    <row r="580" spans="1:3" x14ac:dyDescent="0.3">
      <c r="A580" t="s">
        <v>93</v>
      </c>
      <c r="B580" t="s">
        <v>359</v>
      </c>
      <c r="C580">
        <v>15</v>
      </c>
    </row>
    <row r="581" spans="1:3" x14ac:dyDescent="0.3">
      <c r="A581" t="s">
        <v>95</v>
      </c>
      <c r="B581" t="s">
        <v>359</v>
      </c>
      <c r="C581">
        <v>15</v>
      </c>
    </row>
    <row r="582" spans="1:3" x14ac:dyDescent="0.3">
      <c r="A582" t="s">
        <v>101</v>
      </c>
      <c r="B582" t="s">
        <v>359</v>
      </c>
      <c r="C582">
        <v>15</v>
      </c>
    </row>
    <row r="583" spans="1:3" x14ac:dyDescent="0.3">
      <c r="A583" t="s">
        <v>108</v>
      </c>
      <c r="B583" t="s">
        <v>359</v>
      </c>
      <c r="C583">
        <v>15</v>
      </c>
    </row>
    <row r="584" spans="1:3" x14ac:dyDescent="0.3">
      <c r="A584" t="s">
        <v>114</v>
      </c>
      <c r="B584" t="s">
        <v>359</v>
      </c>
      <c r="C584">
        <v>15</v>
      </c>
    </row>
    <row r="585" spans="1:3" x14ac:dyDescent="0.3">
      <c r="A585" t="s">
        <v>118</v>
      </c>
      <c r="B585" t="s">
        <v>359</v>
      </c>
      <c r="C585">
        <v>15</v>
      </c>
    </row>
    <row r="586" spans="1:3" x14ac:dyDescent="0.3">
      <c r="A586" t="s">
        <v>129</v>
      </c>
      <c r="B586" t="s">
        <v>359</v>
      </c>
      <c r="C586">
        <v>15</v>
      </c>
    </row>
    <row r="587" spans="1:3" x14ac:dyDescent="0.3">
      <c r="A587" t="s">
        <v>134</v>
      </c>
      <c r="B587" t="s">
        <v>359</v>
      </c>
      <c r="C587">
        <v>15</v>
      </c>
    </row>
    <row r="588" spans="1:3" x14ac:dyDescent="0.3">
      <c r="A588" t="s">
        <v>135</v>
      </c>
      <c r="B588" t="s">
        <v>359</v>
      </c>
      <c r="C588">
        <v>15</v>
      </c>
    </row>
    <row r="589" spans="1:3" x14ac:dyDescent="0.3">
      <c r="A589" t="s">
        <v>136</v>
      </c>
      <c r="B589" t="s">
        <v>359</v>
      </c>
      <c r="C589">
        <v>15</v>
      </c>
    </row>
    <row r="590" spans="1:3" x14ac:dyDescent="0.3">
      <c r="A590" t="s">
        <v>139</v>
      </c>
      <c r="B590" t="s">
        <v>359</v>
      </c>
      <c r="C590">
        <v>15</v>
      </c>
    </row>
    <row r="591" spans="1:3" x14ac:dyDescent="0.3">
      <c r="A591" t="s">
        <v>150</v>
      </c>
      <c r="B591" t="s">
        <v>359</v>
      </c>
      <c r="C591">
        <v>15</v>
      </c>
    </row>
    <row r="592" spans="1:3" x14ac:dyDescent="0.3">
      <c r="A592" t="s">
        <v>153</v>
      </c>
      <c r="B592" t="s">
        <v>359</v>
      </c>
      <c r="C592">
        <v>15</v>
      </c>
    </row>
    <row r="593" spans="1:3" x14ac:dyDescent="0.3">
      <c r="A593" t="s">
        <v>166</v>
      </c>
      <c r="B593" t="s">
        <v>359</v>
      </c>
      <c r="C593">
        <v>15</v>
      </c>
    </row>
    <row r="594" spans="1:3" x14ac:dyDescent="0.3">
      <c r="A594" t="s">
        <v>168</v>
      </c>
      <c r="B594" t="s">
        <v>359</v>
      </c>
      <c r="C594">
        <v>15</v>
      </c>
    </row>
    <row r="595" spans="1:3" x14ac:dyDescent="0.3">
      <c r="A595" t="s">
        <v>193</v>
      </c>
      <c r="B595" t="s">
        <v>359</v>
      </c>
      <c r="C595">
        <v>15</v>
      </c>
    </row>
    <row r="596" spans="1:3" x14ac:dyDescent="0.3">
      <c r="A596" t="s">
        <v>198</v>
      </c>
      <c r="B596" t="s">
        <v>359</v>
      </c>
      <c r="C596">
        <v>15</v>
      </c>
    </row>
    <row r="597" spans="1:3" x14ac:dyDescent="0.3">
      <c r="A597" t="s">
        <v>230</v>
      </c>
      <c r="B597" t="s">
        <v>359</v>
      </c>
      <c r="C597">
        <v>15</v>
      </c>
    </row>
    <row r="598" spans="1:3" x14ac:dyDescent="0.3">
      <c r="A598" t="s">
        <v>239</v>
      </c>
      <c r="B598" t="s">
        <v>359</v>
      </c>
      <c r="C598">
        <v>15</v>
      </c>
    </row>
    <row r="599" spans="1:3" x14ac:dyDescent="0.3">
      <c r="A599" t="s">
        <v>263</v>
      </c>
      <c r="B599" t="s">
        <v>359</v>
      </c>
      <c r="C599">
        <v>15</v>
      </c>
    </row>
    <row r="600" spans="1:3" x14ac:dyDescent="0.3">
      <c r="A600" t="s">
        <v>274</v>
      </c>
      <c r="B600" t="s">
        <v>359</v>
      </c>
      <c r="C600">
        <v>15</v>
      </c>
    </row>
    <row r="601" spans="1:3" x14ac:dyDescent="0.3">
      <c r="A601" t="s">
        <v>295</v>
      </c>
      <c r="B601" t="s">
        <v>359</v>
      </c>
      <c r="C601">
        <v>15</v>
      </c>
    </row>
    <row r="602" spans="1:3" x14ac:dyDescent="0.3">
      <c r="A602" t="s">
        <v>300</v>
      </c>
      <c r="B602" t="s">
        <v>359</v>
      </c>
      <c r="C602">
        <v>15</v>
      </c>
    </row>
    <row r="603" spans="1:3" x14ac:dyDescent="0.3">
      <c r="A603" t="s">
        <v>307</v>
      </c>
      <c r="B603" t="s">
        <v>359</v>
      </c>
      <c r="C603">
        <v>15</v>
      </c>
    </row>
    <row r="604" spans="1:3" x14ac:dyDescent="0.3">
      <c r="A604" t="s">
        <v>309</v>
      </c>
      <c r="B604" t="s">
        <v>359</v>
      </c>
      <c r="C604">
        <v>15</v>
      </c>
    </row>
    <row r="605" spans="1:3" x14ac:dyDescent="0.3">
      <c r="A605" t="s">
        <v>314</v>
      </c>
      <c r="B605" t="s">
        <v>359</v>
      </c>
      <c r="C605">
        <v>15</v>
      </c>
    </row>
    <row r="606" spans="1:3" x14ac:dyDescent="0.3">
      <c r="A606" t="s">
        <v>316</v>
      </c>
      <c r="B606" t="s">
        <v>359</v>
      </c>
      <c r="C606">
        <v>15</v>
      </c>
    </row>
    <row r="607" spans="1:3" x14ac:dyDescent="0.3">
      <c r="A607" t="s">
        <v>318</v>
      </c>
      <c r="B607" t="s">
        <v>359</v>
      </c>
      <c r="C607">
        <v>15</v>
      </c>
    </row>
    <row r="608" spans="1:3" x14ac:dyDescent="0.3">
      <c r="A608" t="s">
        <v>334</v>
      </c>
      <c r="B608" t="s">
        <v>359</v>
      </c>
      <c r="C608">
        <v>15</v>
      </c>
    </row>
    <row r="609" spans="1:3" x14ac:dyDescent="0.3">
      <c r="A609" t="s">
        <v>344</v>
      </c>
      <c r="B609" t="s">
        <v>359</v>
      </c>
      <c r="C609">
        <v>15</v>
      </c>
    </row>
    <row r="610" spans="1:3" x14ac:dyDescent="0.3">
      <c r="A610" t="s">
        <v>349</v>
      </c>
      <c r="B610" t="s">
        <v>359</v>
      </c>
      <c r="C610">
        <v>15</v>
      </c>
    </row>
    <row r="611" spans="1:3" x14ac:dyDescent="0.3">
      <c r="A611" t="s">
        <v>353</v>
      </c>
      <c r="B611" t="s">
        <v>359</v>
      </c>
      <c r="C611">
        <v>15</v>
      </c>
    </row>
    <row r="612" spans="1:3" x14ac:dyDescent="0.3">
      <c r="A612" t="s">
        <v>47</v>
      </c>
      <c r="B612" t="s">
        <v>359</v>
      </c>
      <c r="C612">
        <v>16</v>
      </c>
    </row>
    <row r="613" spans="1:3" x14ac:dyDescent="0.3">
      <c r="A613" t="s">
        <v>55</v>
      </c>
      <c r="B613" t="s">
        <v>359</v>
      </c>
      <c r="C613">
        <v>16</v>
      </c>
    </row>
    <row r="614" spans="1:3" x14ac:dyDescent="0.3">
      <c r="A614" t="s">
        <v>62</v>
      </c>
      <c r="B614" t="s">
        <v>359</v>
      </c>
      <c r="C614">
        <v>16</v>
      </c>
    </row>
    <row r="615" spans="1:3" x14ac:dyDescent="0.3">
      <c r="A615" t="s">
        <v>90</v>
      </c>
      <c r="B615" t="s">
        <v>359</v>
      </c>
      <c r="C615">
        <v>16</v>
      </c>
    </row>
    <row r="616" spans="1:3" x14ac:dyDescent="0.3">
      <c r="A616" t="s">
        <v>102</v>
      </c>
      <c r="B616" t="s">
        <v>359</v>
      </c>
      <c r="C616">
        <v>16</v>
      </c>
    </row>
    <row r="617" spans="1:3" x14ac:dyDescent="0.3">
      <c r="A617" t="s">
        <v>113</v>
      </c>
      <c r="B617" t="s">
        <v>359</v>
      </c>
      <c r="C617">
        <v>16</v>
      </c>
    </row>
    <row r="618" spans="1:3" x14ac:dyDescent="0.3">
      <c r="A618" t="s">
        <v>116</v>
      </c>
      <c r="B618" t="s">
        <v>359</v>
      </c>
      <c r="C618">
        <v>16</v>
      </c>
    </row>
    <row r="619" spans="1:3" x14ac:dyDescent="0.3">
      <c r="A619" t="s">
        <v>131</v>
      </c>
      <c r="B619" t="s">
        <v>359</v>
      </c>
      <c r="C619">
        <v>16</v>
      </c>
    </row>
    <row r="620" spans="1:3" x14ac:dyDescent="0.3">
      <c r="A620" t="s">
        <v>141</v>
      </c>
      <c r="B620" t="s">
        <v>359</v>
      </c>
      <c r="C620">
        <v>16</v>
      </c>
    </row>
    <row r="621" spans="1:3" x14ac:dyDescent="0.3">
      <c r="A621" t="s">
        <v>162</v>
      </c>
      <c r="B621" t="s">
        <v>359</v>
      </c>
      <c r="C621">
        <v>16</v>
      </c>
    </row>
    <row r="622" spans="1:3" x14ac:dyDescent="0.3">
      <c r="A622" t="s">
        <v>170</v>
      </c>
      <c r="B622" t="s">
        <v>359</v>
      </c>
      <c r="C622">
        <v>16</v>
      </c>
    </row>
    <row r="623" spans="1:3" x14ac:dyDescent="0.3">
      <c r="A623" t="s">
        <v>171</v>
      </c>
      <c r="B623" t="s">
        <v>359</v>
      </c>
      <c r="C623">
        <v>16</v>
      </c>
    </row>
    <row r="624" spans="1:3" x14ac:dyDescent="0.3">
      <c r="A624" t="s">
        <v>175</v>
      </c>
      <c r="B624" t="s">
        <v>359</v>
      </c>
      <c r="C624">
        <v>16</v>
      </c>
    </row>
    <row r="625" spans="1:3" x14ac:dyDescent="0.3">
      <c r="A625" t="s">
        <v>199</v>
      </c>
      <c r="B625" t="s">
        <v>359</v>
      </c>
      <c r="C625">
        <v>16</v>
      </c>
    </row>
    <row r="626" spans="1:3" x14ac:dyDescent="0.3">
      <c r="A626" t="s">
        <v>204</v>
      </c>
      <c r="B626" t="s">
        <v>359</v>
      </c>
      <c r="C626">
        <v>16</v>
      </c>
    </row>
    <row r="627" spans="1:3" x14ac:dyDescent="0.3">
      <c r="A627" t="s">
        <v>217</v>
      </c>
      <c r="B627" t="s">
        <v>359</v>
      </c>
      <c r="C627">
        <v>16</v>
      </c>
    </row>
    <row r="628" spans="1:3" x14ac:dyDescent="0.3">
      <c r="A628" t="s">
        <v>233</v>
      </c>
      <c r="B628" t="s">
        <v>359</v>
      </c>
      <c r="C628">
        <v>16</v>
      </c>
    </row>
    <row r="629" spans="1:3" x14ac:dyDescent="0.3">
      <c r="A629" t="s">
        <v>247</v>
      </c>
      <c r="B629" t="s">
        <v>359</v>
      </c>
      <c r="C629">
        <v>16</v>
      </c>
    </row>
    <row r="630" spans="1:3" x14ac:dyDescent="0.3">
      <c r="A630" t="s">
        <v>256</v>
      </c>
      <c r="B630" t="s">
        <v>359</v>
      </c>
      <c r="C630">
        <v>16</v>
      </c>
    </row>
    <row r="631" spans="1:3" x14ac:dyDescent="0.3">
      <c r="A631" t="s">
        <v>286</v>
      </c>
      <c r="B631" t="s">
        <v>359</v>
      </c>
      <c r="C631">
        <v>16</v>
      </c>
    </row>
    <row r="632" spans="1:3" x14ac:dyDescent="0.3">
      <c r="A632" t="s">
        <v>288</v>
      </c>
      <c r="B632" t="s">
        <v>359</v>
      </c>
      <c r="C632">
        <v>16</v>
      </c>
    </row>
    <row r="633" spans="1:3" x14ac:dyDescent="0.3">
      <c r="A633" t="s">
        <v>294</v>
      </c>
      <c r="B633" t="s">
        <v>359</v>
      </c>
      <c r="C633">
        <v>16</v>
      </c>
    </row>
    <row r="634" spans="1:3" x14ac:dyDescent="0.3">
      <c r="A634" t="s">
        <v>317</v>
      </c>
      <c r="B634" t="s">
        <v>359</v>
      </c>
      <c r="C634">
        <v>16</v>
      </c>
    </row>
    <row r="635" spans="1:3" x14ac:dyDescent="0.3">
      <c r="A635" t="s">
        <v>322</v>
      </c>
      <c r="B635" t="s">
        <v>359</v>
      </c>
      <c r="C635">
        <v>16</v>
      </c>
    </row>
    <row r="636" spans="1:3" x14ac:dyDescent="0.3">
      <c r="A636" t="s">
        <v>31</v>
      </c>
      <c r="B636" t="s">
        <v>359</v>
      </c>
      <c r="C636">
        <v>17</v>
      </c>
    </row>
    <row r="637" spans="1:3" x14ac:dyDescent="0.3">
      <c r="A637" t="s">
        <v>42</v>
      </c>
      <c r="B637" t="s">
        <v>359</v>
      </c>
      <c r="C637">
        <v>17</v>
      </c>
    </row>
    <row r="638" spans="1:3" x14ac:dyDescent="0.3">
      <c r="A638" t="s">
        <v>54</v>
      </c>
      <c r="B638" t="s">
        <v>359</v>
      </c>
      <c r="C638">
        <v>17</v>
      </c>
    </row>
    <row r="639" spans="1:3" x14ac:dyDescent="0.3">
      <c r="A639" t="s">
        <v>56</v>
      </c>
      <c r="B639" t="s">
        <v>359</v>
      </c>
      <c r="C639">
        <v>17</v>
      </c>
    </row>
    <row r="640" spans="1:3" x14ac:dyDescent="0.3">
      <c r="A640" t="s">
        <v>83</v>
      </c>
      <c r="B640" t="s">
        <v>359</v>
      </c>
      <c r="C640">
        <v>17</v>
      </c>
    </row>
    <row r="641" spans="1:3" x14ac:dyDescent="0.3">
      <c r="A641" t="s">
        <v>103</v>
      </c>
      <c r="B641" t="s">
        <v>359</v>
      </c>
      <c r="C641">
        <v>17</v>
      </c>
    </row>
    <row r="642" spans="1:3" x14ac:dyDescent="0.3">
      <c r="A642" t="s">
        <v>144</v>
      </c>
      <c r="B642" t="s">
        <v>359</v>
      </c>
      <c r="C642">
        <v>17</v>
      </c>
    </row>
    <row r="643" spans="1:3" x14ac:dyDescent="0.3">
      <c r="A643" t="s">
        <v>151</v>
      </c>
      <c r="B643" t="s">
        <v>359</v>
      </c>
      <c r="C643">
        <v>17</v>
      </c>
    </row>
    <row r="644" spans="1:3" x14ac:dyDescent="0.3">
      <c r="A644" t="s">
        <v>209</v>
      </c>
      <c r="B644" t="s">
        <v>359</v>
      </c>
      <c r="C644">
        <v>17</v>
      </c>
    </row>
    <row r="645" spans="1:3" x14ac:dyDescent="0.3">
      <c r="A645" t="s">
        <v>226</v>
      </c>
      <c r="B645" t="s">
        <v>359</v>
      </c>
      <c r="C645">
        <v>17</v>
      </c>
    </row>
    <row r="646" spans="1:3" x14ac:dyDescent="0.3">
      <c r="A646" t="s">
        <v>246</v>
      </c>
      <c r="B646" t="s">
        <v>359</v>
      </c>
      <c r="C646">
        <v>17</v>
      </c>
    </row>
    <row r="647" spans="1:3" x14ac:dyDescent="0.3">
      <c r="A647" t="s">
        <v>329</v>
      </c>
      <c r="B647" t="s">
        <v>359</v>
      </c>
      <c r="C647">
        <v>17</v>
      </c>
    </row>
    <row r="648" spans="1:3" x14ac:dyDescent="0.3">
      <c r="A648" t="s">
        <v>343</v>
      </c>
      <c r="B648" t="s">
        <v>359</v>
      </c>
      <c r="C648">
        <v>17</v>
      </c>
    </row>
    <row r="649" spans="1:3" x14ac:dyDescent="0.3">
      <c r="A649" t="s">
        <v>221</v>
      </c>
      <c r="B649" t="s">
        <v>359</v>
      </c>
      <c r="C649">
        <v>18</v>
      </c>
    </row>
    <row r="650" spans="1:3" x14ac:dyDescent="0.3">
      <c r="A650" t="s">
        <v>332</v>
      </c>
      <c r="B650" t="s">
        <v>359</v>
      </c>
      <c r="C650">
        <v>18</v>
      </c>
    </row>
    <row r="651" spans="1:3" x14ac:dyDescent="0.3">
      <c r="A651" t="s">
        <v>240</v>
      </c>
      <c r="B651" t="s">
        <v>359</v>
      </c>
      <c r="C651">
        <v>19</v>
      </c>
    </row>
    <row r="652" spans="1:3" x14ac:dyDescent="0.3">
      <c r="A652" t="s">
        <v>266</v>
      </c>
      <c r="B652" t="s">
        <v>359</v>
      </c>
      <c r="C652">
        <v>19</v>
      </c>
    </row>
    <row r="653" spans="1:3" x14ac:dyDescent="0.3">
      <c r="A653" t="s">
        <v>282</v>
      </c>
      <c r="B653" t="s">
        <v>359</v>
      </c>
      <c r="C653">
        <v>19</v>
      </c>
    </row>
    <row r="654" spans="1:3" x14ac:dyDescent="0.3">
      <c r="A654" t="s">
        <v>195</v>
      </c>
      <c r="B654" t="s">
        <v>359</v>
      </c>
      <c r="C654">
        <v>20</v>
      </c>
    </row>
    <row r="655" spans="1:3" x14ac:dyDescent="0.3">
      <c r="A655" t="s">
        <v>119</v>
      </c>
      <c r="B655" t="s">
        <v>359</v>
      </c>
      <c r="C655">
        <v>22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AD53-5136-4591-A18D-8FE40C767394}">
  <dimension ref="A1:H57"/>
  <sheetViews>
    <sheetView workbookViewId="0">
      <selection activeCell="H2" sqref="H2"/>
    </sheetView>
  </sheetViews>
  <sheetFormatPr defaultRowHeight="14.4" x14ac:dyDescent="0.3"/>
  <cols>
    <col min="1" max="1" width="6.88671875" bestFit="1" customWidth="1"/>
    <col min="2" max="2" width="6.33203125" bestFit="1" customWidth="1"/>
    <col min="3" max="3" width="6.77734375" bestFit="1" customWidth="1"/>
    <col min="4" max="4" width="7" bestFit="1" customWidth="1"/>
  </cols>
  <sheetData>
    <row r="1" spans="1:8" x14ac:dyDescent="0.3">
      <c r="A1" t="s">
        <v>1</v>
      </c>
      <c r="B1" t="s">
        <v>30</v>
      </c>
      <c r="C1" t="s">
        <v>361</v>
      </c>
      <c r="D1" t="s">
        <v>362</v>
      </c>
      <c r="E1" t="s">
        <v>364</v>
      </c>
    </row>
    <row r="2" spans="1:8" x14ac:dyDescent="0.3">
      <c r="A2">
        <v>2017</v>
      </c>
      <c r="B2">
        <v>1</v>
      </c>
      <c r="C2">
        <v>94</v>
      </c>
      <c r="D2">
        <v>327</v>
      </c>
      <c r="E2" s="1">
        <f>q2_dau_mau[[#This Row],[DAU]]/q2_dau_mau[[#This Row],[MAU]]</f>
        <v>0.28746177370030579</v>
      </c>
      <c r="G2">
        <v>2017</v>
      </c>
      <c r="H2">
        <f>AVERAGEIFS(q2_dau_mau[DAU/MAU],q2_dau_mau[Year],G2)</f>
        <v>0.29314110965487117</v>
      </c>
    </row>
    <row r="3" spans="1:8" x14ac:dyDescent="0.3">
      <c r="A3">
        <v>2017</v>
      </c>
      <c r="B3">
        <v>2</v>
      </c>
      <c r="C3">
        <v>90</v>
      </c>
      <c r="D3">
        <v>327</v>
      </c>
      <c r="E3" s="1">
        <f>q2_dau_mau[[#This Row],[DAU]]/q2_dau_mau[[#This Row],[MAU]]</f>
        <v>0.27522935779816515</v>
      </c>
      <c r="G3">
        <v>2018</v>
      </c>
      <c r="H3">
        <f>AVERAGEIFS(q2_dau_mau[DAU/MAU],q2_dau_mau[Year],G3)</f>
        <v>0.44451725644386186</v>
      </c>
    </row>
    <row r="4" spans="1:8" x14ac:dyDescent="0.3">
      <c r="A4">
        <v>2017</v>
      </c>
      <c r="B4">
        <v>3</v>
      </c>
      <c r="C4">
        <v>92</v>
      </c>
      <c r="D4">
        <v>327</v>
      </c>
      <c r="E4" s="1">
        <f>q2_dau_mau[[#This Row],[DAU]]/q2_dau_mau[[#This Row],[MAU]]</f>
        <v>0.28134556574923547</v>
      </c>
    </row>
    <row r="5" spans="1:8" x14ac:dyDescent="0.3">
      <c r="A5">
        <v>2017</v>
      </c>
      <c r="B5">
        <v>4</v>
      </c>
      <c r="C5">
        <v>87</v>
      </c>
      <c r="D5">
        <v>327</v>
      </c>
      <c r="E5" s="1">
        <f>q2_dau_mau[[#This Row],[DAU]]/q2_dau_mau[[#This Row],[MAU]]</f>
        <v>0.26605504587155965</v>
      </c>
    </row>
    <row r="6" spans="1:8" x14ac:dyDescent="0.3">
      <c r="A6">
        <v>2017</v>
      </c>
      <c r="B6">
        <v>5</v>
      </c>
      <c r="C6">
        <v>94</v>
      </c>
      <c r="D6">
        <v>327</v>
      </c>
      <c r="E6" s="1">
        <f>q2_dau_mau[[#This Row],[DAU]]/q2_dau_mau[[#This Row],[MAU]]</f>
        <v>0.28746177370030579</v>
      </c>
    </row>
    <row r="7" spans="1:8" x14ac:dyDescent="0.3">
      <c r="A7">
        <v>2017</v>
      </c>
      <c r="B7">
        <v>6</v>
      </c>
      <c r="C7">
        <v>96</v>
      </c>
      <c r="D7">
        <v>327</v>
      </c>
      <c r="E7" s="1">
        <f>q2_dau_mau[[#This Row],[DAU]]/q2_dau_mau[[#This Row],[MAU]]</f>
        <v>0.29357798165137616</v>
      </c>
    </row>
    <row r="8" spans="1:8" x14ac:dyDescent="0.3">
      <c r="A8">
        <v>2017</v>
      </c>
      <c r="B8">
        <v>7</v>
      </c>
      <c r="C8">
        <v>87</v>
      </c>
      <c r="D8">
        <v>327</v>
      </c>
      <c r="E8" s="1">
        <f>q2_dau_mau[[#This Row],[DAU]]/q2_dau_mau[[#This Row],[MAU]]</f>
        <v>0.26605504587155965</v>
      </c>
    </row>
    <row r="9" spans="1:8" x14ac:dyDescent="0.3">
      <c r="A9">
        <v>2017</v>
      </c>
      <c r="B9">
        <v>8</v>
      </c>
      <c r="C9">
        <v>102</v>
      </c>
      <c r="D9">
        <v>327</v>
      </c>
      <c r="E9" s="1">
        <f>q2_dau_mau[[#This Row],[DAU]]/q2_dau_mau[[#This Row],[MAU]]</f>
        <v>0.31192660550458717</v>
      </c>
    </row>
    <row r="10" spans="1:8" x14ac:dyDescent="0.3">
      <c r="A10">
        <v>2017</v>
      </c>
      <c r="B10">
        <v>9</v>
      </c>
      <c r="C10">
        <v>94</v>
      </c>
      <c r="D10">
        <v>327</v>
      </c>
      <c r="E10" s="1">
        <f>q2_dau_mau[[#This Row],[DAU]]/q2_dau_mau[[#This Row],[MAU]]</f>
        <v>0.28746177370030579</v>
      </c>
    </row>
    <row r="11" spans="1:8" x14ac:dyDescent="0.3">
      <c r="A11">
        <v>2017</v>
      </c>
      <c r="B11">
        <v>10</v>
      </c>
      <c r="C11">
        <v>95</v>
      </c>
      <c r="D11">
        <v>327</v>
      </c>
      <c r="E11" s="1">
        <f>q2_dau_mau[[#This Row],[DAU]]/q2_dau_mau[[#This Row],[MAU]]</f>
        <v>0.29051987767584098</v>
      </c>
    </row>
    <row r="12" spans="1:8" x14ac:dyDescent="0.3">
      <c r="A12">
        <v>2017</v>
      </c>
      <c r="B12">
        <v>11</v>
      </c>
      <c r="C12">
        <v>104</v>
      </c>
      <c r="D12">
        <v>327</v>
      </c>
      <c r="E12" s="1">
        <f>q2_dau_mau[[#This Row],[DAU]]/q2_dau_mau[[#This Row],[MAU]]</f>
        <v>0.31804281345565749</v>
      </c>
    </row>
    <row r="13" spans="1:8" x14ac:dyDescent="0.3">
      <c r="A13">
        <v>2017</v>
      </c>
      <c r="B13">
        <v>12</v>
      </c>
      <c r="C13">
        <v>98</v>
      </c>
      <c r="D13">
        <v>327</v>
      </c>
      <c r="E13" s="1">
        <f>q2_dau_mau[[#This Row],[DAU]]/q2_dau_mau[[#This Row],[MAU]]</f>
        <v>0.29969418960244648</v>
      </c>
    </row>
    <row r="14" spans="1:8" x14ac:dyDescent="0.3">
      <c r="A14">
        <v>2017</v>
      </c>
      <c r="B14">
        <v>13</v>
      </c>
      <c r="C14">
        <v>99</v>
      </c>
      <c r="D14">
        <v>327</v>
      </c>
      <c r="E14" s="1">
        <f>q2_dau_mau[[#This Row],[DAU]]/q2_dau_mau[[#This Row],[MAU]]</f>
        <v>0.30275229357798167</v>
      </c>
    </row>
    <row r="15" spans="1:8" x14ac:dyDescent="0.3">
      <c r="A15">
        <v>2017</v>
      </c>
      <c r="B15">
        <v>14</v>
      </c>
      <c r="C15">
        <v>79</v>
      </c>
      <c r="D15">
        <v>327</v>
      </c>
      <c r="E15" s="1">
        <f>q2_dau_mau[[#This Row],[DAU]]/q2_dau_mau[[#This Row],[MAU]]</f>
        <v>0.24159021406727829</v>
      </c>
    </row>
    <row r="16" spans="1:8" x14ac:dyDescent="0.3">
      <c r="A16">
        <v>2017</v>
      </c>
      <c r="B16">
        <v>15</v>
      </c>
      <c r="C16">
        <v>104</v>
      </c>
      <c r="D16">
        <v>327</v>
      </c>
      <c r="E16" s="1">
        <f>q2_dau_mau[[#This Row],[DAU]]/q2_dau_mau[[#This Row],[MAU]]</f>
        <v>0.31804281345565749</v>
      </c>
    </row>
    <row r="17" spans="1:5" x14ac:dyDescent="0.3">
      <c r="A17">
        <v>2017</v>
      </c>
      <c r="B17">
        <v>16</v>
      </c>
      <c r="C17">
        <v>95</v>
      </c>
      <c r="D17">
        <v>327</v>
      </c>
      <c r="E17" s="1">
        <f>q2_dau_mau[[#This Row],[DAU]]/q2_dau_mau[[#This Row],[MAU]]</f>
        <v>0.29051987767584098</v>
      </c>
    </row>
    <row r="18" spans="1:5" x14ac:dyDescent="0.3">
      <c r="A18">
        <v>2017</v>
      </c>
      <c r="B18">
        <v>17</v>
      </c>
      <c r="C18">
        <v>88</v>
      </c>
      <c r="D18">
        <v>327</v>
      </c>
      <c r="E18" s="1">
        <f>q2_dau_mau[[#This Row],[DAU]]/q2_dau_mau[[#This Row],[MAU]]</f>
        <v>0.26911314984709478</v>
      </c>
    </row>
    <row r="19" spans="1:5" x14ac:dyDescent="0.3">
      <c r="A19">
        <v>2017</v>
      </c>
      <c r="B19">
        <v>18</v>
      </c>
      <c r="C19">
        <v>90</v>
      </c>
      <c r="D19">
        <v>327</v>
      </c>
      <c r="E19" s="1">
        <f>q2_dau_mau[[#This Row],[DAU]]/q2_dau_mau[[#This Row],[MAU]]</f>
        <v>0.27522935779816515</v>
      </c>
    </row>
    <row r="20" spans="1:5" x14ac:dyDescent="0.3">
      <c r="A20">
        <v>2017</v>
      </c>
      <c r="B20">
        <v>19</v>
      </c>
      <c r="C20">
        <v>103</v>
      </c>
      <c r="D20">
        <v>327</v>
      </c>
      <c r="E20" s="1">
        <f>q2_dau_mau[[#This Row],[DAU]]/q2_dau_mau[[#This Row],[MAU]]</f>
        <v>0.3149847094801223</v>
      </c>
    </row>
    <row r="21" spans="1:5" x14ac:dyDescent="0.3">
      <c r="A21">
        <v>2017</v>
      </c>
      <c r="B21">
        <v>20</v>
      </c>
      <c r="C21">
        <v>95</v>
      </c>
      <c r="D21">
        <v>327</v>
      </c>
      <c r="E21" s="1">
        <f>q2_dau_mau[[#This Row],[DAU]]/q2_dau_mau[[#This Row],[MAU]]</f>
        <v>0.29051987767584098</v>
      </c>
    </row>
    <row r="22" spans="1:5" x14ac:dyDescent="0.3">
      <c r="A22">
        <v>2017</v>
      </c>
      <c r="B22">
        <v>21</v>
      </c>
      <c r="C22">
        <v>106</v>
      </c>
      <c r="D22">
        <v>327</v>
      </c>
      <c r="E22" s="1">
        <f>q2_dau_mau[[#This Row],[DAU]]/q2_dau_mau[[#This Row],[MAU]]</f>
        <v>0.32415902140672781</v>
      </c>
    </row>
    <row r="23" spans="1:5" x14ac:dyDescent="0.3">
      <c r="A23">
        <v>2017</v>
      </c>
      <c r="B23">
        <v>22</v>
      </c>
      <c r="C23">
        <v>95</v>
      </c>
      <c r="D23">
        <v>327</v>
      </c>
      <c r="E23" s="1">
        <f>q2_dau_mau[[#This Row],[DAU]]/q2_dau_mau[[#This Row],[MAU]]</f>
        <v>0.29051987767584098</v>
      </c>
    </row>
    <row r="24" spans="1:5" x14ac:dyDescent="0.3">
      <c r="A24">
        <v>2017</v>
      </c>
      <c r="B24">
        <v>23</v>
      </c>
      <c r="C24">
        <v>98</v>
      </c>
      <c r="D24">
        <v>327</v>
      </c>
      <c r="E24" s="1">
        <f>q2_dau_mau[[#This Row],[DAU]]/q2_dau_mau[[#This Row],[MAU]]</f>
        <v>0.29969418960244648</v>
      </c>
    </row>
    <row r="25" spans="1:5" x14ac:dyDescent="0.3">
      <c r="A25">
        <v>2017</v>
      </c>
      <c r="B25">
        <v>24</v>
      </c>
      <c r="C25">
        <v>100</v>
      </c>
      <c r="D25">
        <v>327</v>
      </c>
      <c r="E25" s="1">
        <f>q2_dau_mau[[#This Row],[DAU]]/q2_dau_mau[[#This Row],[MAU]]</f>
        <v>0.3058103975535168</v>
      </c>
    </row>
    <row r="26" spans="1:5" x14ac:dyDescent="0.3">
      <c r="A26">
        <v>2017</v>
      </c>
      <c r="B26">
        <v>25</v>
      </c>
      <c r="C26">
        <v>93</v>
      </c>
      <c r="D26">
        <v>327</v>
      </c>
      <c r="E26" s="1">
        <f>q2_dau_mau[[#This Row],[DAU]]/q2_dau_mau[[#This Row],[MAU]]</f>
        <v>0.28440366972477066</v>
      </c>
    </row>
    <row r="27" spans="1:5" x14ac:dyDescent="0.3">
      <c r="A27">
        <v>2017</v>
      </c>
      <c r="B27">
        <v>26</v>
      </c>
      <c r="C27">
        <v>96</v>
      </c>
      <c r="D27">
        <v>327</v>
      </c>
      <c r="E27" s="1">
        <f>q2_dau_mau[[#This Row],[DAU]]/q2_dau_mau[[#This Row],[MAU]]</f>
        <v>0.29357798165137616</v>
      </c>
    </row>
    <row r="28" spans="1:5" x14ac:dyDescent="0.3">
      <c r="A28">
        <v>2017</v>
      </c>
      <c r="B28">
        <v>27</v>
      </c>
      <c r="C28">
        <v>105</v>
      </c>
      <c r="D28">
        <v>327</v>
      </c>
      <c r="E28" s="1">
        <f>q2_dau_mau[[#This Row],[DAU]]/q2_dau_mau[[#This Row],[MAU]]</f>
        <v>0.32110091743119268</v>
      </c>
    </row>
    <row r="29" spans="1:5" x14ac:dyDescent="0.3">
      <c r="A29">
        <v>2017</v>
      </c>
      <c r="B29">
        <v>28</v>
      </c>
      <c r="C29">
        <v>105</v>
      </c>
      <c r="D29">
        <v>327</v>
      </c>
      <c r="E29" s="1">
        <f>q2_dau_mau[[#This Row],[DAU]]/q2_dau_mau[[#This Row],[MAU]]</f>
        <v>0.32110091743119268</v>
      </c>
    </row>
    <row r="30" spans="1:5" x14ac:dyDescent="0.3">
      <c r="A30">
        <v>2018</v>
      </c>
      <c r="B30">
        <v>1</v>
      </c>
      <c r="C30">
        <v>148</v>
      </c>
      <c r="D30">
        <v>327</v>
      </c>
      <c r="E30" s="1">
        <f>q2_dau_mau[[#This Row],[DAU]]/q2_dau_mau[[#This Row],[MAU]]</f>
        <v>0.45259938837920488</v>
      </c>
    </row>
    <row r="31" spans="1:5" x14ac:dyDescent="0.3">
      <c r="A31">
        <v>2018</v>
      </c>
      <c r="B31">
        <v>2</v>
      </c>
      <c r="C31">
        <v>144</v>
      </c>
      <c r="D31">
        <v>327</v>
      </c>
      <c r="E31" s="1">
        <f>q2_dau_mau[[#This Row],[DAU]]/q2_dau_mau[[#This Row],[MAU]]</f>
        <v>0.44036697247706424</v>
      </c>
    </row>
    <row r="32" spans="1:5" x14ac:dyDescent="0.3">
      <c r="A32">
        <v>2018</v>
      </c>
      <c r="B32">
        <v>3</v>
      </c>
      <c r="C32">
        <v>158</v>
      </c>
      <c r="D32">
        <v>327</v>
      </c>
      <c r="E32" s="1">
        <f>q2_dau_mau[[#This Row],[DAU]]/q2_dau_mau[[#This Row],[MAU]]</f>
        <v>0.48318042813455658</v>
      </c>
    </row>
    <row r="33" spans="1:5" x14ac:dyDescent="0.3">
      <c r="A33">
        <v>2018</v>
      </c>
      <c r="B33">
        <v>4</v>
      </c>
      <c r="C33">
        <v>144</v>
      </c>
      <c r="D33">
        <v>327</v>
      </c>
      <c r="E33" s="1">
        <f>q2_dau_mau[[#This Row],[DAU]]/q2_dau_mau[[#This Row],[MAU]]</f>
        <v>0.44036697247706424</v>
      </c>
    </row>
    <row r="34" spans="1:5" x14ac:dyDescent="0.3">
      <c r="A34">
        <v>2018</v>
      </c>
      <c r="B34">
        <v>5</v>
      </c>
      <c r="C34">
        <v>152</v>
      </c>
      <c r="D34">
        <v>327</v>
      </c>
      <c r="E34" s="1">
        <f>q2_dau_mau[[#This Row],[DAU]]/q2_dau_mau[[#This Row],[MAU]]</f>
        <v>0.46483180428134557</v>
      </c>
    </row>
    <row r="35" spans="1:5" x14ac:dyDescent="0.3">
      <c r="A35">
        <v>2018</v>
      </c>
      <c r="B35">
        <v>6</v>
      </c>
      <c r="C35">
        <v>130</v>
      </c>
      <c r="D35">
        <v>327</v>
      </c>
      <c r="E35" s="1">
        <f>q2_dau_mau[[#This Row],[DAU]]/q2_dau_mau[[#This Row],[MAU]]</f>
        <v>0.39755351681957185</v>
      </c>
    </row>
    <row r="36" spans="1:5" x14ac:dyDescent="0.3">
      <c r="A36">
        <v>2018</v>
      </c>
      <c r="B36">
        <v>7</v>
      </c>
      <c r="C36">
        <v>148</v>
      </c>
      <c r="D36">
        <v>327</v>
      </c>
      <c r="E36" s="1">
        <f>q2_dau_mau[[#This Row],[DAU]]/q2_dau_mau[[#This Row],[MAU]]</f>
        <v>0.45259938837920488</v>
      </c>
    </row>
    <row r="37" spans="1:5" x14ac:dyDescent="0.3">
      <c r="A37">
        <v>2018</v>
      </c>
      <c r="B37">
        <v>8</v>
      </c>
      <c r="C37">
        <v>144</v>
      </c>
      <c r="D37">
        <v>327</v>
      </c>
      <c r="E37" s="1">
        <f>q2_dau_mau[[#This Row],[DAU]]/q2_dau_mau[[#This Row],[MAU]]</f>
        <v>0.44036697247706424</v>
      </c>
    </row>
    <row r="38" spans="1:5" x14ac:dyDescent="0.3">
      <c r="A38">
        <v>2018</v>
      </c>
      <c r="B38">
        <v>9</v>
      </c>
      <c r="C38">
        <v>147</v>
      </c>
      <c r="D38">
        <v>327</v>
      </c>
      <c r="E38" s="1">
        <f>q2_dau_mau[[#This Row],[DAU]]/q2_dau_mau[[#This Row],[MAU]]</f>
        <v>0.44954128440366975</v>
      </c>
    </row>
    <row r="39" spans="1:5" x14ac:dyDescent="0.3">
      <c r="A39">
        <v>2018</v>
      </c>
      <c r="B39">
        <v>10</v>
      </c>
      <c r="C39">
        <v>151</v>
      </c>
      <c r="D39">
        <v>327</v>
      </c>
      <c r="E39" s="1">
        <f>q2_dau_mau[[#This Row],[DAU]]/q2_dau_mau[[#This Row],[MAU]]</f>
        <v>0.46177370030581039</v>
      </c>
    </row>
    <row r="40" spans="1:5" x14ac:dyDescent="0.3">
      <c r="A40">
        <v>2018</v>
      </c>
      <c r="B40">
        <v>11</v>
      </c>
      <c r="C40">
        <v>136</v>
      </c>
      <c r="D40">
        <v>327</v>
      </c>
      <c r="E40" s="1">
        <f>q2_dau_mau[[#This Row],[DAU]]/q2_dau_mau[[#This Row],[MAU]]</f>
        <v>0.41590214067278286</v>
      </c>
    </row>
    <row r="41" spans="1:5" x14ac:dyDescent="0.3">
      <c r="A41">
        <v>2018</v>
      </c>
      <c r="B41">
        <v>12</v>
      </c>
      <c r="C41">
        <v>136</v>
      </c>
      <c r="D41">
        <v>327</v>
      </c>
      <c r="E41" s="1">
        <f>q2_dau_mau[[#This Row],[DAU]]/q2_dau_mau[[#This Row],[MAU]]</f>
        <v>0.41590214067278286</v>
      </c>
    </row>
    <row r="42" spans="1:5" x14ac:dyDescent="0.3">
      <c r="A42">
        <v>2018</v>
      </c>
      <c r="B42">
        <v>13</v>
      </c>
      <c r="C42">
        <v>136</v>
      </c>
      <c r="D42">
        <v>327</v>
      </c>
      <c r="E42" s="1">
        <f>q2_dau_mau[[#This Row],[DAU]]/q2_dau_mau[[#This Row],[MAU]]</f>
        <v>0.41590214067278286</v>
      </c>
    </row>
    <row r="43" spans="1:5" x14ac:dyDescent="0.3">
      <c r="A43">
        <v>2018</v>
      </c>
      <c r="B43">
        <v>14</v>
      </c>
      <c r="C43">
        <v>140</v>
      </c>
      <c r="D43">
        <v>327</v>
      </c>
      <c r="E43" s="1">
        <f>q2_dau_mau[[#This Row],[DAU]]/q2_dau_mau[[#This Row],[MAU]]</f>
        <v>0.42813455657492355</v>
      </c>
    </row>
    <row r="44" spans="1:5" x14ac:dyDescent="0.3">
      <c r="A44">
        <v>2018</v>
      </c>
      <c r="B44">
        <v>15</v>
      </c>
      <c r="C44">
        <v>148</v>
      </c>
      <c r="D44">
        <v>327</v>
      </c>
      <c r="E44" s="1">
        <f>q2_dau_mau[[#This Row],[DAU]]/q2_dau_mau[[#This Row],[MAU]]</f>
        <v>0.45259938837920488</v>
      </c>
    </row>
    <row r="45" spans="1:5" x14ac:dyDescent="0.3">
      <c r="A45">
        <v>2018</v>
      </c>
      <c r="B45">
        <v>16</v>
      </c>
      <c r="C45">
        <v>137</v>
      </c>
      <c r="D45">
        <v>327</v>
      </c>
      <c r="E45" s="1">
        <f>q2_dau_mau[[#This Row],[DAU]]/q2_dau_mau[[#This Row],[MAU]]</f>
        <v>0.41896024464831805</v>
      </c>
    </row>
    <row r="46" spans="1:5" x14ac:dyDescent="0.3">
      <c r="A46">
        <v>2018</v>
      </c>
      <c r="B46">
        <v>17</v>
      </c>
      <c r="C46">
        <v>150</v>
      </c>
      <c r="D46">
        <v>327</v>
      </c>
      <c r="E46" s="1">
        <f>q2_dau_mau[[#This Row],[DAU]]/q2_dau_mau[[#This Row],[MAU]]</f>
        <v>0.45871559633027525</v>
      </c>
    </row>
    <row r="47" spans="1:5" x14ac:dyDescent="0.3">
      <c r="A47">
        <v>2018</v>
      </c>
      <c r="B47">
        <v>18</v>
      </c>
      <c r="C47">
        <v>144</v>
      </c>
      <c r="D47">
        <v>327</v>
      </c>
      <c r="E47" s="1">
        <f>q2_dau_mau[[#This Row],[DAU]]/q2_dau_mau[[#This Row],[MAU]]</f>
        <v>0.44036697247706424</v>
      </c>
    </row>
    <row r="48" spans="1:5" x14ac:dyDescent="0.3">
      <c r="A48">
        <v>2018</v>
      </c>
      <c r="B48">
        <v>19</v>
      </c>
      <c r="C48">
        <v>136</v>
      </c>
      <c r="D48">
        <v>327</v>
      </c>
      <c r="E48" s="1">
        <f>q2_dau_mau[[#This Row],[DAU]]/q2_dau_mau[[#This Row],[MAU]]</f>
        <v>0.41590214067278286</v>
      </c>
    </row>
    <row r="49" spans="1:5" x14ac:dyDescent="0.3">
      <c r="A49">
        <v>2018</v>
      </c>
      <c r="B49">
        <v>20</v>
      </c>
      <c r="C49">
        <v>138</v>
      </c>
      <c r="D49">
        <v>327</v>
      </c>
      <c r="E49" s="1">
        <f>q2_dau_mau[[#This Row],[DAU]]/q2_dau_mau[[#This Row],[MAU]]</f>
        <v>0.42201834862385323</v>
      </c>
    </row>
    <row r="50" spans="1:5" x14ac:dyDescent="0.3">
      <c r="A50">
        <v>2018</v>
      </c>
      <c r="B50">
        <v>21</v>
      </c>
      <c r="C50">
        <v>138</v>
      </c>
      <c r="D50">
        <v>327</v>
      </c>
      <c r="E50" s="1">
        <f>q2_dau_mau[[#This Row],[DAU]]/q2_dau_mau[[#This Row],[MAU]]</f>
        <v>0.42201834862385323</v>
      </c>
    </row>
    <row r="51" spans="1:5" x14ac:dyDescent="0.3">
      <c r="A51">
        <v>2018</v>
      </c>
      <c r="B51">
        <v>22</v>
      </c>
      <c r="C51">
        <v>156</v>
      </c>
      <c r="D51">
        <v>327</v>
      </c>
      <c r="E51" s="1">
        <f>q2_dau_mau[[#This Row],[DAU]]/q2_dau_mau[[#This Row],[MAU]]</f>
        <v>0.47706422018348627</v>
      </c>
    </row>
    <row r="52" spans="1:5" x14ac:dyDescent="0.3">
      <c r="A52">
        <v>2018</v>
      </c>
      <c r="B52">
        <v>23</v>
      </c>
      <c r="C52">
        <v>142</v>
      </c>
      <c r="D52">
        <v>327</v>
      </c>
      <c r="E52" s="1">
        <f>q2_dau_mau[[#This Row],[DAU]]/q2_dau_mau[[#This Row],[MAU]]</f>
        <v>0.43425076452599387</v>
      </c>
    </row>
    <row r="53" spans="1:5" x14ac:dyDescent="0.3">
      <c r="A53">
        <v>2018</v>
      </c>
      <c r="B53">
        <v>24</v>
      </c>
      <c r="C53">
        <v>143</v>
      </c>
      <c r="D53">
        <v>327</v>
      </c>
      <c r="E53" s="1">
        <f>q2_dau_mau[[#This Row],[DAU]]/q2_dau_mau[[#This Row],[MAU]]</f>
        <v>0.43730886850152906</v>
      </c>
    </row>
    <row r="54" spans="1:5" x14ac:dyDescent="0.3">
      <c r="A54">
        <v>2018</v>
      </c>
      <c r="B54">
        <v>25</v>
      </c>
      <c r="C54">
        <v>152</v>
      </c>
      <c r="D54">
        <v>327</v>
      </c>
      <c r="E54" s="1">
        <f>q2_dau_mau[[#This Row],[DAU]]/q2_dau_mau[[#This Row],[MAU]]</f>
        <v>0.46483180428134557</v>
      </c>
    </row>
    <row r="55" spans="1:5" x14ac:dyDescent="0.3">
      <c r="A55">
        <v>2018</v>
      </c>
      <c r="B55">
        <v>26</v>
      </c>
      <c r="C55">
        <v>158</v>
      </c>
      <c r="D55">
        <v>327</v>
      </c>
      <c r="E55" s="1">
        <f>q2_dau_mau[[#This Row],[DAU]]/q2_dau_mau[[#This Row],[MAU]]</f>
        <v>0.48318042813455658</v>
      </c>
    </row>
    <row r="56" spans="1:5" x14ac:dyDescent="0.3">
      <c r="A56">
        <v>2018</v>
      </c>
      <c r="B56">
        <v>27</v>
      </c>
      <c r="C56">
        <v>164</v>
      </c>
      <c r="D56">
        <v>327</v>
      </c>
      <c r="E56" s="1">
        <f>q2_dau_mau[[#This Row],[DAU]]/q2_dau_mau[[#This Row],[MAU]]</f>
        <v>0.50152905198776754</v>
      </c>
    </row>
    <row r="57" spans="1:5" x14ac:dyDescent="0.3">
      <c r="A57">
        <v>2018</v>
      </c>
      <c r="B57">
        <v>28</v>
      </c>
      <c r="C57">
        <v>150</v>
      </c>
      <c r="D57">
        <v>327</v>
      </c>
      <c r="E57" s="1">
        <f>q2_dau_mau[[#This Row],[DAU]]/q2_dau_mau[[#This Row],[MAU]]</f>
        <v>0.45871559633027525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02F1-1CA8-4BB0-BFAA-46F29864B0F8}">
  <dimension ref="B2:AI656"/>
  <sheetViews>
    <sheetView topLeftCell="N1" workbookViewId="0">
      <selection activeCell="AI3" sqref="AI3"/>
    </sheetView>
  </sheetViews>
  <sheetFormatPr defaultRowHeight="14.4" x14ac:dyDescent="0.3"/>
  <cols>
    <col min="2" max="2" width="13.109375" customWidth="1"/>
  </cols>
  <sheetData>
    <row r="2" spans="2:35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366</v>
      </c>
      <c r="AH2">
        <v>2017</v>
      </c>
      <c r="AI2">
        <v>2018</v>
      </c>
    </row>
    <row r="3" spans="2:35" x14ac:dyDescent="0.3">
      <c r="B3">
        <v>82834</v>
      </c>
      <c r="C3">
        <v>2017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f>SUM(q2_raw[[#This Row],[1]:[28]])</f>
        <v>8</v>
      </c>
      <c r="AH3">
        <f>AVERAGEIFS(q2_raw[total],q2_raw[Year],AH2)</f>
        <v>8.2079510703363923</v>
      </c>
      <c r="AI3">
        <f>AVERAGEIFS(q2_raw[total],q2_raw[Year],AI2)</f>
        <v>12.446483180428135</v>
      </c>
    </row>
    <row r="4" spans="2:35" x14ac:dyDescent="0.3">
      <c r="B4">
        <v>10507</v>
      </c>
      <c r="C4">
        <v>2017</v>
      </c>
      <c r="D4">
        <v>1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f>SUM(q2_raw[[#This Row],[1]:[28]])</f>
        <v>6</v>
      </c>
    </row>
    <row r="5" spans="2:35" x14ac:dyDescent="0.3">
      <c r="B5">
        <v>29188</v>
      </c>
      <c r="C5">
        <v>2017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f>SUM(q2_raw[[#This Row],[1]:[28]])</f>
        <v>8</v>
      </c>
    </row>
    <row r="6" spans="2:35" x14ac:dyDescent="0.3">
      <c r="B6">
        <v>51721</v>
      </c>
      <c r="C6">
        <v>2017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f>SUM(q2_raw[[#This Row],[1]:[28]])</f>
        <v>6</v>
      </c>
    </row>
    <row r="7" spans="2:35" x14ac:dyDescent="0.3">
      <c r="B7">
        <v>45423</v>
      </c>
      <c r="C7">
        <v>2017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>
        <f>SUM(q2_raw[[#This Row],[1]:[28]])</f>
        <v>10</v>
      </c>
    </row>
    <row r="8" spans="2:35" x14ac:dyDescent="0.3">
      <c r="B8">
        <v>536</v>
      </c>
      <c r="C8">
        <v>2017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f>SUM(q2_raw[[#This Row],[1]:[28]])</f>
        <v>3</v>
      </c>
    </row>
    <row r="9" spans="2:35" x14ac:dyDescent="0.3">
      <c r="B9">
        <v>56511</v>
      </c>
      <c r="C9">
        <v>2017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f>SUM(q2_raw[[#This Row],[1]:[28]])</f>
        <v>7</v>
      </c>
    </row>
    <row r="10" spans="2:35" x14ac:dyDescent="0.3">
      <c r="B10">
        <v>40051</v>
      </c>
      <c r="C10">
        <v>2017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f>SUM(q2_raw[[#This Row],[1]:[28]])</f>
        <v>9</v>
      </c>
    </row>
    <row r="11" spans="2:35" x14ac:dyDescent="0.3">
      <c r="B11">
        <v>92973</v>
      </c>
      <c r="C11">
        <v>2017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f>SUM(q2_raw[[#This Row],[1]:[28]])</f>
        <v>10</v>
      </c>
    </row>
    <row r="12" spans="2:35" x14ac:dyDescent="0.3">
      <c r="B12">
        <v>87762</v>
      </c>
      <c r="C12">
        <v>2017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0</v>
      </c>
      <c r="K12">
        <v>1</v>
      </c>
      <c r="L12">
        <v>0</v>
      </c>
      <c r="M12">
        <v>1</v>
      </c>
      <c r="N12">
        <v>1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f>SUM(q2_raw[[#This Row],[1]:[28]])</f>
        <v>14</v>
      </c>
    </row>
    <row r="13" spans="2:35" x14ac:dyDescent="0.3">
      <c r="B13">
        <v>26912</v>
      </c>
      <c r="C13">
        <v>2017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f>SUM(q2_raw[[#This Row],[1]:[28]])</f>
        <v>6</v>
      </c>
    </row>
    <row r="14" spans="2:35" x14ac:dyDescent="0.3">
      <c r="B14">
        <v>76619</v>
      </c>
      <c r="C14">
        <v>2017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f>SUM(q2_raw[[#This Row],[1]:[28]])</f>
        <v>5</v>
      </c>
    </row>
    <row r="15" spans="2:35" x14ac:dyDescent="0.3">
      <c r="B15">
        <v>15153</v>
      </c>
      <c r="C15">
        <v>2017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f>SUM(q2_raw[[#This Row],[1]:[28]])</f>
        <v>12</v>
      </c>
    </row>
    <row r="16" spans="2:35" x14ac:dyDescent="0.3">
      <c r="B16">
        <v>92477</v>
      </c>
      <c r="C16">
        <v>2017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f>SUM(q2_raw[[#This Row],[1]:[28]])</f>
        <v>8</v>
      </c>
    </row>
    <row r="17" spans="2:32" x14ac:dyDescent="0.3">
      <c r="B17">
        <v>66612</v>
      </c>
      <c r="C17">
        <v>2017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f>SUM(q2_raw[[#This Row],[1]:[28]])</f>
        <v>6</v>
      </c>
    </row>
    <row r="18" spans="2:32" x14ac:dyDescent="0.3">
      <c r="B18">
        <v>1551</v>
      </c>
      <c r="C18">
        <v>2017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f>SUM(q2_raw[[#This Row],[1]:[28]])</f>
        <v>5</v>
      </c>
    </row>
    <row r="19" spans="2:32" x14ac:dyDescent="0.3">
      <c r="B19">
        <v>51065</v>
      </c>
      <c r="C19">
        <v>2017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f>SUM(q2_raw[[#This Row],[1]:[28]])</f>
        <v>4</v>
      </c>
    </row>
    <row r="20" spans="2:32" x14ac:dyDescent="0.3">
      <c r="B20">
        <v>43999</v>
      </c>
      <c r="C20">
        <v>2017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0</v>
      </c>
      <c r="X20">
        <v>1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f>SUM(q2_raw[[#This Row],[1]:[28]])</f>
        <v>8</v>
      </c>
    </row>
    <row r="21" spans="2:32" x14ac:dyDescent="0.3">
      <c r="B21">
        <v>30518</v>
      </c>
      <c r="C21">
        <v>2017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0</v>
      </c>
      <c r="AF21">
        <f>SUM(q2_raw[[#This Row],[1]:[28]])</f>
        <v>12</v>
      </c>
    </row>
    <row r="22" spans="2:32" x14ac:dyDescent="0.3">
      <c r="B22">
        <v>81652</v>
      </c>
      <c r="C22">
        <v>2017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1</v>
      </c>
      <c r="AF22">
        <f>SUM(q2_raw[[#This Row],[1]:[28]])</f>
        <v>8</v>
      </c>
    </row>
    <row r="23" spans="2:32" x14ac:dyDescent="0.3">
      <c r="B23">
        <v>97562</v>
      </c>
      <c r="C23">
        <v>2017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0</v>
      </c>
      <c r="AF23">
        <f>SUM(q2_raw[[#This Row],[1]:[28]])</f>
        <v>7</v>
      </c>
    </row>
    <row r="24" spans="2:32" x14ac:dyDescent="0.3">
      <c r="B24">
        <v>54044</v>
      </c>
      <c r="C24">
        <v>2017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1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1</v>
      </c>
      <c r="AF24">
        <f>SUM(q2_raw[[#This Row],[1]:[28]])</f>
        <v>5</v>
      </c>
    </row>
    <row r="25" spans="2:32" x14ac:dyDescent="0.3">
      <c r="B25">
        <v>20182</v>
      </c>
      <c r="C25">
        <v>2017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0</v>
      </c>
      <c r="AF25">
        <f>SUM(q2_raw[[#This Row],[1]:[28]])</f>
        <v>10</v>
      </c>
    </row>
    <row r="26" spans="2:32" x14ac:dyDescent="0.3">
      <c r="B26">
        <v>50012</v>
      </c>
      <c r="C26">
        <v>2017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f>SUM(q2_raw[[#This Row],[1]:[28]])</f>
        <v>7</v>
      </c>
    </row>
    <row r="27" spans="2:32" x14ac:dyDescent="0.3">
      <c r="B27">
        <v>92724</v>
      </c>
      <c r="C27">
        <v>2017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0</v>
      </c>
      <c r="AF27">
        <f>SUM(q2_raw[[#This Row],[1]:[28]])</f>
        <v>9</v>
      </c>
    </row>
    <row r="28" spans="2:32" x14ac:dyDescent="0.3">
      <c r="B28">
        <v>52463</v>
      </c>
      <c r="C28">
        <v>2017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1</v>
      </c>
      <c r="AD28">
        <v>1</v>
      </c>
      <c r="AE28">
        <v>1</v>
      </c>
      <c r="AF28">
        <f>SUM(q2_raw[[#This Row],[1]:[28]])</f>
        <v>11</v>
      </c>
    </row>
    <row r="29" spans="2:32" x14ac:dyDescent="0.3">
      <c r="B29">
        <v>5249</v>
      </c>
      <c r="C29">
        <v>2017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0</v>
      </c>
      <c r="Z29">
        <v>1</v>
      </c>
      <c r="AA29">
        <v>1</v>
      </c>
      <c r="AB29">
        <v>0</v>
      </c>
      <c r="AC29">
        <v>0</v>
      </c>
      <c r="AD29">
        <v>1</v>
      </c>
      <c r="AE29">
        <v>1</v>
      </c>
      <c r="AF29">
        <f>SUM(q2_raw[[#This Row],[1]:[28]])</f>
        <v>11</v>
      </c>
    </row>
    <row r="30" spans="2:32" x14ac:dyDescent="0.3">
      <c r="B30">
        <v>69997</v>
      </c>
      <c r="C30">
        <v>2017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0</v>
      </c>
      <c r="AF30">
        <f>SUM(q2_raw[[#This Row],[1]:[28]])</f>
        <v>5</v>
      </c>
    </row>
    <row r="31" spans="2:32" x14ac:dyDescent="0.3">
      <c r="B31">
        <v>48818</v>
      </c>
      <c r="C31">
        <v>2017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f>SUM(q2_raw[[#This Row],[1]:[28]])</f>
        <v>7</v>
      </c>
    </row>
    <row r="32" spans="2:32" x14ac:dyDescent="0.3">
      <c r="B32">
        <v>37846</v>
      </c>
      <c r="C32">
        <v>2017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1</v>
      </c>
      <c r="AF32">
        <f>SUM(q2_raw[[#This Row],[1]:[28]])</f>
        <v>6</v>
      </c>
    </row>
    <row r="33" spans="2:32" x14ac:dyDescent="0.3">
      <c r="B33">
        <v>37764</v>
      </c>
      <c r="C33">
        <v>2017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0</v>
      </c>
      <c r="AF33">
        <f>SUM(q2_raw[[#This Row],[1]:[28]])</f>
        <v>9</v>
      </c>
    </row>
    <row r="34" spans="2:32" x14ac:dyDescent="0.3">
      <c r="B34">
        <v>91202</v>
      </c>
      <c r="C34">
        <v>2017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f>SUM(q2_raw[[#This Row],[1]:[28]])</f>
        <v>3</v>
      </c>
    </row>
    <row r="35" spans="2:32" x14ac:dyDescent="0.3">
      <c r="B35">
        <v>51446</v>
      </c>
      <c r="C35">
        <v>2017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0</v>
      </c>
      <c r="AF35">
        <f>SUM(q2_raw[[#This Row],[1]:[28]])</f>
        <v>6</v>
      </c>
    </row>
    <row r="36" spans="2:32" x14ac:dyDescent="0.3">
      <c r="B36">
        <v>56275</v>
      </c>
      <c r="C36">
        <v>2017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f>SUM(q2_raw[[#This Row],[1]:[28]])</f>
        <v>4</v>
      </c>
    </row>
    <row r="37" spans="2:32" x14ac:dyDescent="0.3">
      <c r="B37">
        <v>50939</v>
      </c>
      <c r="C37">
        <v>2017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f>SUM(q2_raw[[#This Row],[1]:[28]])</f>
        <v>7</v>
      </c>
    </row>
    <row r="38" spans="2:32" x14ac:dyDescent="0.3">
      <c r="B38">
        <v>607</v>
      </c>
      <c r="C38">
        <v>2017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f>SUM(q2_raw[[#This Row],[1]:[28]])</f>
        <v>9</v>
      </c>
    </row>
    <row r="39" spans="2:32" x14ac:dyDescent="0.3">
      <c r="B39">
        <v>76247</v>
      </c>
      <c r="C39">
        <v>2017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f>SUM(q2_raw[[#This Row],[1]:[28]])</f>
        <v>9</v>
      </c>
    </row>
    <row r="40" spans="2:32" x14ac:dyDescent="0.3">
      <c r="B40">
        <v>28414</v>
      </c>
      <c r="C40">
        <v>2017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f>SUM(q2_raw[[#This Row],[1]:[28]])</f>
        <v>6</v>
      </c>
    </row>
    <row r="41" spans="2:32" x14ac:dyDescent="0.3">
      <c r="B41">
        <v>21045</v>
      </c>
      <c r="C41">
        <v>2017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1</v>
      </c>
      <c r="AF41">
        <f>SUM(q2_raw[[#This Row],[1]:[28]])</f>
        <v>10</v>
      </c>
    </row>
    <row r="42" spans="2:32" x14ac:dyDescent="0.3">
      <c r="B42">
        <v>98730</v>
      </c>
      <c r="C42">
        <v>2017</v>
      </c>
      <c r="D42">
        <v>0</v>
      </c>
      <c r="E42">
        <v>0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f>SUM(q2_raw[[#This Row],[1]:[28]])</f>
        <v>9</v>
      </c>
    </row>
    <row r="43" spans="2:32" x14ac:dyDescent="0.3">
      <c r="B43">
        <v>4811</v>
      </c>
      <c r="C43">
        <v>2017</v>
      </c>
      <c r="D43">
        <v>0</v>
      </c>
      <c r="E43">
        <v>0</v>
      </c>
      <c r="F43">
        <v>1</v>
      </c>
      <c r="G43">
        <v>1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f>SUM(q2_raw[[#This Row],[1]:[28]])</f>
        <v>8</v>
      </c>
    </row>
    <row r="44" spans="2:32" x14ac:dyDescent="0.3">
      <c r="B44">
        <v>55963</v>
      </c>
      <c r="C44">
        <v>2017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f>SUM(q2_raw[[#This Row],[1]:[28]])</f>
        <v>6</v>
      </c>
    </row>
    <row r="45" spans="2:32" x14ac:dyDescent="0.3">
      <c r="B45">
        <v>92186</v>
      </c>
      <c r="C45">
        <v>2017</v>
      </c>
      <c r="D45">
        <v>0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1</v>
      </c>
      <c r="AF45">
        <f>SUM(q2_raw[[#This Row],[1]:[28]])</f>
        <v>8</v>
      </c>
    </row>
    <row r="46" spans="2:32" x14ac:dyDescent="0.3">
      <c r="B46">
        <v>8096</v>
      </c>
      <c r="C46">
        <v>2017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f>SUM(q2_raw[[#This Row],[1]:[28]])</f>
        <v>9</v>
      </c>
    </row>
    <row r="47" spans="2:32" x14ac:dyDescent="0.3">
      <c r="B47">
        <v>60260</v>
      </c>
      <c r="C47">
        <v>2017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>
        <f>SUM(q2_raw[[#This Row],[1]:[28]])</f>
        <v>7</v>
      </c>
    </row>
    <row r="48" spans="2:32" x14ac:dyDescent="0.3">
      <c r="B48">
        <v>5444</v>
      </c>
      <c r="C48">
        <v>2017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1</v>
      </c>
      <c r="AF48">
        <f>SUM(q2_raw[[#This Row],[1]:[28]])</f>
        <v>6</v>
      </c>
    </row>
    <row r="49" spans="2:32" x14ac:dyDescent="0.3">
      <c r="B49">
        <v>18116</v>
      </c>
      <c r="C49">
        <v>2017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1</v>
      </c>
      <c r="AD49">
        <v>1</v>
      </c>
      <c r="AE49">
        <v>0</v>
      </c>
      <c r="AF49">
        <f>SUM(q2_raw[[#This Row],[1]:[28]])</f>
        <v>10</v>
      </c>
    </row>
    <row r="50" spans="2:32" x14ac:dyDescent="0.3">
      <c r="B50">
        <v>30045</v>
      </c>
      <c r="C50">
        <v>2017</v>
      </c>
      <c r="D50">
        <v>0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f>SUM(q2_raw[[#This Row],[1]:[28]])</f>
        <v>6</v>
      </c>
    </row>
    <row r="51" spans="2:32" x14ac:dyDescent="0.3">
      <c r="B51">
        <v>92744</v>
      </c>
      <c r="C51">
        <v>2017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</v>
      </c>
      <c r="AF51">
        <f>SUM(q2_raw[[#This Row],[1]:[28]])</f>
        <v>6</v>
      </c>
    </row>
    <row r="52" spans="2:32" x14ac:dyDescent="0.3">
      <c r="B52">
        <v>17229</v>
      </c>
      <c r="C52">
        <v>2017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1</v>
      </c>
      <c r="AF52">
        <f>SUM(q2_raw[[#This Row],[1]:[28]])</f>
        <v>7</v>
      </c>
    </row>
    <row r="53" spans="2:32" x14ac:dyDescent="0.3">
      <c r="B53">
        <v>12861</v>
      </c>
      <c r="C53">
        <v>2017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1</v>
      </c>
      <c r="AC53">
        <v>1</v>
      </c>
      <c r="AD53">
        <v>0</v>
      </c>
      <c r="AE53">
        <v>0</v>
      </c>
      <c r="AF53">
        <f>SUM(q2_raw[[#This Row],[1]:[28]])</f>
        <v>10</v>
      </c>
    </row>
    <row r="54" spans="2:32" x14ac:dyDescent="0.3">
      <c r="B54">
        <v>77731</v>
      </c>
      <c r="C54">
        <v>2017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1</v>
      </c>
      <c r="AF54">
        <f>SUM(q2_raw[[#This Row],[1]:[28]])</f>
        <v>8</v>
      </c>
    </row>
    <row r="55" spans="2:32" x14ac:dyDescent="0.3">
      <c r="B55">
        <v>7120</v>
      </c>
      <c r="C55">
        <v>2017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1</v>
      </c>
      <c r="AC55">
        <v>0</v>
      </c>
      <c r="AD55">
        <v>1</v>
      </c>
      <c r="AE55">
        <v>1</v>
      </c>
      <c r="AF55">
        <f>SUM(q2_raw[[#This Row],[1]:[28]])</f>
        <v>9</v>
      </c>
    </row>
    <row r="56" spans="2:32" x14ac:dyDescent="0.3">
      <c r="B56">
        <v>71155</v>
      </c>
      <c r="C56">
        <v>2017</v>
      </c>
      <c r="D56">
        <v>1</v>
      </c>
      <c r="E56">
        <v>0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f>SUM(q2_raw[[#This Row],[1]:[28]])</f>
        <v>7</v>
      </c>
    </row>
    <row r="57" spans="2:32" x14ac:dyDescent="0.3">
      <c r="B57">
        <v>34834</v>
      </c>
      <c r="C57">
        <v>2017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  <c r="AB57">
        <v>1</v>
      </c>
      <c r="AC57">
        <v>0</v>
      </c>
      <c r="AD57">
        <v>1</v>
      </c>
      <c r="AE57">
        <v>1</v>
      </c>
      <c r="AF57">
        <f>SUM(q2_raw[[#This Row],[1]:[28]])</f>
        <v>9</v>
      </c>
    </row>
    <row r="58" spans="2:32" x14ac:dyDescent="0.3">
      <c r="B58">
        <v>58813</v>
      </c>
      <c r="C58">
        <v>2017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1</v>
      </c>
      <c r="R58">
        <v>0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f>SUM(q2_raw[[#This Row],[1]:[28]])</f>
        <v>6</v>
      </c>
    </row>
    <row r="59" spans="2:32" x14ac:dyDescent="0.3">
      <c r="B59">
        <v>48483</v>
      </c>
      <c r="C59">
        <v>2017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f>SUM(q2_raw[[#This Row],[1]:[28]])</f>
        <v>4</v>
      </c>
    </row>
    <row r="60" spans="2:32" x14ac:dyDescent="0.3">
      <c r="B60">
        <v>16371</v>
      </c>
      <c r="C60">
        <v>2017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f>SUM(q2_raw[[#This Row],[1]:[28]])</f>
        <v>8</v>
      </c>
    </row>
    <row r="61" spans="2:32" x14ac:dyDescent="0.3">
      <c r="B61">
        <v>37212</v>
      </c>
      <c r="C61">
        <v>2017</v>
      </c>
      <c r="D61">
        <v>0</v>
      </c>
      <c r="E61">
        <v>0</v>
      </c>
      <c r="F61">
        <v>0</v>
      </c>
      <c r="G61">
        <v>1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f>SUM(q2_raw[[#This Row],[1]:[28]])</f>
        <v>9</v>
      </c>
    </row>
    <row r="62" spans="2:32" x14ac:dyDescent="0.3">
      <c r="B62">
        <v>56671</v>
      </c>
      <c r="C62">
        <v>2017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1</v>
      </c>
      <c r="S62">
        <v>1</v>
      </c>
      <c r="T62">
        <v>0</v>
      </c>
      <c r="U62">
        <v>1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1</v>
      </c>
      <c r="AC62">
        <v>0</v>
      </c>
      <c r="AD62">
        <v>1</v>
      </c>
      <c r="AE62">
        <v>1</v>
      </c>
      <c r="AF62">
        <f>SUM(q2_raw[[#This Row],[1]:[28]])</f>
        <v>13</v>
      </c>
    </row>
    <row r="63" spans="2:32" x14ac:dyDescent="0.3">
      <c r="B63">
        <v>62622</v>
      </c>
      <c r="C63">
        <v>2017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>
        <v>1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1</v>
      </c>
      <c r="AA63">
        <v>1</v>
      </c>
      <c r="AB63">
        <v>0</v>
      </c>
      <c r="AC63">
        <v>0</v>
      </c>
      <c r="AD63">
        <v>1</v>
      </c>
      <c r="AE63">
        <v>0</v>
      </c>
      <c r="AF63">
        <f>SUM(q2_raw[[#This Row],[1]:[28]])</f>
        <v>10</v>
      </c>
    </row>
    <row r="64" spans="2:32" x14ac:dyDescent="0.3">
      <c r="B64">
        <v>39317</v>
      </c>
      <c r="C64">
        <v>2017</v>
      </c>
      <c r="D64">
        <v>0</v>
      </c>
      <c r="E64">
        <v>1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</v>
      </c>
      <c r="AE64">
        <v>0</v>
      </c>
      <c r="AF64">
        <f>SUM(q2_raw[[#This Row],[1]:[28]])</f>
        <v>9</v>
      </c>
    </row>
    <row r="65" spans="2:32" x14ac:dyDescent="0.3">
      <c r="B65">
        <v>63751</v>
      </c>
      <c r="C65">
        <v>2017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1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1</v>
      </c>
      <c r="AF65">
        <f>SUM(q2_raw[[#This Row],[1]:[28]])</f>
        <v>7</v>
      </c>
    </row>
    <row r="66" spans="2:32" x14ac:dyDescent="0.3">
      <c r="B66">
        <v>55959</v>
      </c>
      <c r="C66">
        <v>2017</v>
      </c>
      <c r="D66">
        <v>0</v>
      </c>
      <c r="E66">
        <v>1</v>
      </c>
      <c r="F66">
        <v>0</v>
      </c>
      <c r="G66">
        <v>1</v>
      </c>
      <c r="H66">
        <v>1</v>
      </c>
      <c r="I66">
        <v>0</v>
      </c>
      <c r="J66">
        <v>1</v>
      </c>
      <c r="K66">
        <v>1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0</v>
      </c>
      <c r="AA66">
        <v>1</v>
      </c>
      <c r="AB66">
        <v>1</v>
      </c>
      <c r="AC66">
        <v>0</v>
      </c>
      <c r="AD66">
        <v>0</v>
      </c>
      <c r="AE66">
        <v>0</v>
      </c>
      <c r="AF66">
        <f>SUM(q2_raw[[#This Row],[1]:[28]])</f>
        <v>14</v>
      </c>
    </row>
    <row r="67" spans="2:32" x14ac:dyDescent="0.3">
      <c r="B67">
        <v>9118</v>
      </c>
      <c r="C67">
        <v>2017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f>SUM(q2_raw[[#This Row],[1]:[28]])</f>
        <v>6</v>
      </c>
    </row>
    <row r="68" spans="2:32" x14ac:dyDescent="0.3">
      <c r="B68">
        <v>14662</v>
      </c>
      <c r="C68">
        <v>2017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1</v>
      </c>
      <c r="AE68">
        <v>0</v>
      </c>
      <c r="AF68">
        <f>SUM(q2_raw[[#This Row],[1]:[28]])</f>
        <v>8</v>
      </c>
    </row>
    <row r="69" spans="2:32" x14ac:dyDescent="0.3">
      <c r="B69">
        <v>99006</v>
      </c>
      <c r="C69">
        <v>2017</v>
      </c>
      <c r="D69">
        <v>0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f>SUM(q2_raw[[#This Row],[1]:[28]])</f>
        <v>11</v>
      </c>
    </row>
    <row r="70" spans="2:32" x14ac:dyDescent="0.3">
      <c r="B70">
        <v>42974</v>
      </c>
      <c r="C70">
        <v>2017</v>
      </c>
      <c r="D70">
        <v>0</v>
      </c>
      <c r="E70">
        <v>0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>
        <v>1</v>
      </c>
      <c r="AD70">
        <v>0</v>
      </c>
      <c r="AE70">
        <v>0</v>
      </c>
      <c r="AF70">
        <f>SUM(q2_raw[[#This Row],[1]:[28]])</f>
        <v>6</v>
      </c>
    </row>
    <row r="71" spans="2:32" x14ac:dyDescent="0.3">
      <c r="B71">
        <v>3994</v>
      </c>
      <c r="C71">
        <v>2017</v>
      </c>
      <c r="D71">
        <v>0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f>SUM(q2_raw[[#This Row],[1]:[28]])</f>
        <v>6</v>
      </c>
    </row>
    <row r="72" spans="2:32" x14ac:dyDescent="0.3">
      <c r="B72">
        <v>15988</v>
      </c>
      <c r="C72">
        <v>2017</v>
      </c>
      <c r="D72">
        <v>0</v>
      </c>
      <c r="E72">
        <v>0</v>
      </c>
      <c r="F72">
        <v>0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f>SUM(q2_raw[[#This Row],[1]:[28]])</f>
        <v>8</v>
      </c>
    </row>
    <row r="73" spans="2:32" x14ac:dyDescent="0.3">
      <c r="B73">
        <v>42330</v>
      </c>
      <c r="C73">
        <v>2017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1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f>SUM(q2_raw[[#This Row],[1]:[28]])</f>
        <v>6</v>
      </c>
    </row>
    <row r="74" spans="2:32" x14ac:dyDescent="0.3">
      <c r="B74">
        <v>80503</v>
      </c>
      <c r="C74">
        <v>2017</v>
      </c>
      <c r="D74">
        <v>1</v>
      </c>
      <c r="E74">
        <v>0</v>
      </c>
      <c r="F74">
        <v>1</v>
      </c>
      <c r="G74">
        <v>0</v>
      </c>
      <c r="H74">
        <v>0</v>
      </c>
      <c r="I74">
        <v>1</v>
      </c>
      <c r="J74">
        <v>1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1</v>
      </c>
      <c r="AE74">
        <v>0</v>
      </c>
      <c r="AF74">
        <f>SUM(q2_raw[[#This Row],[1]:[28]])</f>
        <v>11</v>
      </c>
    </row>
    <row r="75" spans="2:32" x14ac:dyDescent="0.3">
      <c r="B75">
        <v>10576</v>
      </c>
      <c r="C75">
        <v>2017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1</v>
      </c>
      <c r="N75">
        <v>1</v>
      </c>
      <c r="O75">
        <v>0</v>
      </c>
      <c r="P75">
        <v>1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f>SUM(q2_raw[[#This Row],[1]:[28]])</f>
        <v>8</v>
      </c>
    </row>
    <row r="76" spans="2:32" x14ac:dyDescent="0.3">
      <c r="B76">
        <v>76098</v>
      </c>
      <c r="C76">
        <v>2017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0</v>
      </c>
      <c r="AF76">
        <f>SUM(q2_raw[[#This Row],[1]:[28]])</f>
        <v>14</v>
      </c>
    </row>
    <row r="77" spans="2:32" x14ac:dyDescent="0.3">
      <c r="B77">
        <v>79581</v>
      </c>
      <c r="C77">
        <v>2017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f>SUM(q2_raw[[#This Row],[1]:[28]])</f>
        <v>6</v>
      </c>
    </row>
    <row r="78" spans="2:32" x14ac:dyDescent="0.3">
      <c r="B78">
        <v>99705</v>
      </c>
      <c r="C78">
        <v>2017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f>SUM(q2_raw[[#This Row],[1]:[28]])</f>
        <v>7</v>
      </c>
    </row>
    <row r="79" spans="2:32" x14ac:dyDescent="0.3">
      <c r="B79">
        <v>1528</v>
      </c>
      <c r="C79">
        <v>2017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f>SUM(q2_raw[[#This Row],[1]:[28]])</f>
        <v>6</v>
      </c>
    </row>
    <row r="80" spans="2:32" x14ac:dyDescent="0.3">
      <c r="B80">
        <v>16192</v>
      </c>
      <c r="C80">
        <v>2017</v>
      </c>
      <c r="D80">
        <v>1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f>SUM(q2_raw[[#This Row],[1]:[28]])</f>
        <v>5</v>
      </c>
    </row>
    <row r="81" spans="2:32" x14ac:dyDescent="0.3">
      <c r="B81">
        <v>73600</v>
      </c>
      <c r="C81">
        <v>2017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1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1</v>
      </c>
      <c r="AF81">
        <f>SUM(q2_raw[[#This Row],[1]:[28]])</f>
        <v>12</v>
      </c>
    </row>
    <row r="82" spans="2:32" x14ac:dyDescent="0.3">
      <c r="B82">
        <v>30679</v>
      </c>
      <c r="C82">
        <v>2017</v>
      </c>
      <c r="D82">
        <v>1</v>
      </c>
      <c r="E82">
        <v>1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1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1</v>
      </c>
      <c r="AC82">
        <v>0</v>
      </c>
      <c r="AD82">
        <v>0</v>
      </c>
      <c r="AE82">
        <v>0</v>
      </c>
      <c r="AF82">
        <f>SUM(q2_raw[[#This Row],[1]:[28]])</f>
        <v>10</v>
      </c>
    </row>
    <row r="83" spans="2:32" x14ac:dyDescent="0.3">
      <c r="B83">
        <v>323</v>
      </c>
      <c r="C83">
        <v>2017</v>
      </c>
      <c r="D83">
        <v>0</v>
      </c>
      <c r="E83">
        <v>0</v>
      </c>
      <c r="F83">
        <v>1</v>
      </c>
      <c r="G83">
        <v>1</v>
      </c>
      <c r="H83">
        <v>1</v>
      </c>
      <c r="I83">
        <v>0</v>
      </c>
      <c r="J83">
        <v>1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1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0</v>
      </c>
      <c r="AF83">
        <f>SUM(q2_raw[[#This Row],[1]:[28]])</f>
        <v>12</v>
      </c>
    </row>
    <row r="84" spans="2:32" x14ac:dyDescent="0.3">
      <c r="B84">
        <v>8355</v>
      </c>
      <c r="C84">
        <v>2017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0</v>
      </c>
      <c r="O84">
        <v>0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f>SUM(q2_raw[[#This Row],[1]:[28]])</f>
        <v>4</v>
      </c>
    </row>
    <row r="85" spans="2:32" x14ac:dyDescent="0.3">
      <c r="B85">
        <v>8816</v>
      </c>
      <c r="C85">
        <v>2017</v>
      </c>
      <c r="D85">
        <v>0</v>
      </c>
      <c r="E85">
        <v>1</v>
      </c>
      <c r="F85">
        <v>1</v>
      </c>
      <c r="G85">
        <v>1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1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f>SUM(q2_raw[[#This Row],[1]:[28]])</f>
        <v>10</v>
      </c>
    </row>
    <row r="86" spans="2:32" x14ac:dyDescent="0.3">
      <c r="B86">
        <v>4236</v>
      </c>
      <c r="C86">
        <v>2017</v>
      </c>
      <c r="D86">
        <v>0</v>
      </c>
      <c r="E86">
        <v>1</v>
      </c>
      <c r="F86">
        <v>1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0</v>
      </c>
      <c r="S86">
        <v>1</v>
      </c>
      <c r="T86">
        <v>0</v>
      </c>
      <c r="U86">
        <v>0</v>
      </c>
      <c r="V86">
        <v>1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f>SUM(q2_raw[[#This Row],[1]:[28]])</f>
        <v>9</v>
      </c>
    </row>
    <row r="87" spans="2:32" x14ac:dyDescent="0.3">
      <c r="B87">
        <v>14999</v>
      </c>
      <c r="C87">
        <v>2017</v>
      </c>
      <c r="D87">
        <v>0</v>
      </c>
      <c r="E87">
        <v>0</v>
      </c>
      <c r="F87">
        <v>0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>
        <f>SUM(q2_raw[[#This Row],[1]:[28]])</f>
        <v>9</v>
      </c>
    </row>
    <row r="88" spans="2:32" x14ac:dyDescent="0.3">
      <c r="B88">
        <v>72979</v>
      </c>
      <c r="C88">
        <v>2017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0</v>
      </c>
      <c r="AF88">
        <f>SUM(q2_raw[[#This Row],[1]:[28]])</f>
        <v>7</v>
      </c>
    </row>
    <row r="89" spans="2:32" x14ac:dyDescent="0.3">
      <c r="B89">
        <v>48832</v>
      </c>
      <c r="C89">
        <v>2017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f>SUM(q2_raw[[#This Row],[1]:[28]])</f>
        <v>8</v>
      </c>
    </row>
    <row r="90" spans="2:32" x14ac:dyDescent="0.3">
      <c r="B90">
        <v>61598</v>
      </c>
      <c r="C90">
        <v>2017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1</v>
      </c>
      <c r="AF90">
        <f>SUM(q2_raw[[#This Row],[1]:[28]])</f>
        <v>7</v>
      </c>
    </row>
    <row r="91" spans="2:32" x14ac:dyDescent="0.3">
      <c r="B91">
        <v>53161</v>
      </c>
      <c r="C91">
        <v>2017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0</v>
      </c>
      <c r="AF91">
        <f>SUM(q2_raw[[#This Row],[1]:[28]])</f>
        <v>7</v>
      </c>
    </row>
    <row r="92" spans="2:32" x14ac:dyDescent="0.3">
      <c r="B92">
        <v>77676</v>
      </c>
      <c r="C92">
        <v>2017</v>
      </c>
      <c r="D92">
        <v>1</v>
      </c>
      <c r="E92">
        <v>0</v>
      </c>
      <c r="F92">
        <v>1</v>
      </c>
      <c r="G92">
        <v>1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f>SUM(q2_raw[[#This Row],[1]:[28]])</f>
        <v>9</v>
      </c>
    </row>
    <row r="93" spans="2:32" x14ac:dyDescent="0.3">
      <c r="B93">
        <v>47780</v>
      </c>
      <c r="C93">
        <v>2017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  <c r="K93">
        <v>0</v>
      </c>
      <c r="L93">
        <v>1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1</v>
      </c>
      <c r="Y93">
        <v>1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f>SUM(q2_raw[[#This Row],[1]:[28]])</f>
        <v>11</v>
      </c>
    </row>
    <row r="94" spans="2:32" x14ac:dyDescent="0.3">
      <c r="B94">
        <v>73782</v>
      </c>
      <c r="C94">
        <v>2017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f>SUM(q2_raw[[#This Row],[1]:[28]])</f>
        <v>10</v>
      </c>
    </row>
    <row r="95" spans="2:32" x14ac:dyDescent="0.3">
      <c r="B95">
        <v>34313</v>
      </c>
      <c r="C95">
        <v>2017</v>
      </c>
      <c r="D95">
        <v>0</v>
      </c>
      <c r="E95">
        <v>0</v>
      </c>
      <c r="F95">
        <v>1</v>
      </c>
      <c r="G95">
        <v>1</v>
      </c>
      <c r="H95">
        <v>0</v>
      </c>
      <c r="I95">
        <v>1</v>
      </c>
      <c r="J95">
        <v>0</v>
      </c>
      <c r="K95">
        <v>0</v>
      </c>
      <c r="L95">
        <v>1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1</v>
      </c>
      <c r="AE95">
        <v>0</v>
      </c>
      <c r="AF95">
        <f>SUM(q2_raw[[#This Row],[1]:[28]])</f>
        <v>10</v>
      </c>
    </row>
    <row r="96" spans="2:32" x14ac:dyDescent="0.3">
      <c r="B96">
        <v>84220</v>
      </c>
      <c r="C96">
        <v>2017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1</v>
      </c>
      <c r="AE96">
        <v>0</v>
      </c>
      <c r="AF96">
        <f>SUM(q2_raw[[#This Row],[1]:[28]])</f>
        <v>9</v>
      </c>
    </row>
    <row r="97" spans="2:32" x14ac:dyDescent="0.3">
      <c r="B97">
        <v>48109</v>
      </c>
      <c r="C97">
        <v>2017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1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1</v>
      </c>
      <c r="AF97">
        <f>SUM(q2_raw[[#This Row],[1]:[28]])</f>
        <v>10</v>
      </c>
    </row>
    <row r="98" spans="2:32" x14ac:dyDescent="0.3">
      <c r="B98">
        <v>46978</v>
      </c>
      <c r="C98">
        <v>2017</v>
      </c>
      <c r="D98">
        <v>0</v>
      </c>
      <c r="E98">
        <v>0</v>
      </c>
      <c r="F98">
        <v>1</v>
      </c>
      <c r="G98">
        <v>0</v>
      </c>
      <c r="H98">
        <v>1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1</v>
      </c>
      <c r="X98">
        <v>0</v>
      </c>
      <c r="Y98">
        <v>1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f>SUM(q2_raw[[#This Row],[1]:[28]])</f>
        <v>9</v>
      </c>
    </row>
    <row r="99" spans="2:32" x14ac:dyDescent="0.3">
      <c r="B99">
        <v>60375</v>
      </c>
      <c r="C99">
        <v>2017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1</v>
      </c>
      <c r="W99">
        <v>0</v>
      </c>
      <c r="X99">
        <v>1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1</v>
      </c>
      <c r="AF99">
        <f>SUM(q2_raw[[#This Row],[1]:[28]])</f>
        <v>9</v>
      </c>
    </row>
    <row r="100" spans="2:32" x14ac:dyDescent="0.3">
      <c r="B100">
        <v>36940</v>
      </c>
      <c r="C100">
        <v>2017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1</v>
      </c>
      <c r="AE100">
        <v>1</v>
      </c>
      <c r="AF100">
        <f>SUM(q2_raw[[#This Row],[1]:[28]])</f>
        <v>11</v>
      </c>
    </row>
    <row r="101" spans="2:32" x14ac:dyDescent="0.3">
      <c r="B101">
        <v>42803</v>
      </c>
      <c r="C101">
        <v>2017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1</v>
      </c>
      <c r="AD101">
        <v>1</v>
      </c>
      <c r="AE101">
        <v>0</v>
      </c>
      <c r="AF101">
        <f>SUM(q2_raw[[#This Row],[1]:[28]])</f>
        <v>9</v>
      </c>
    </row>
    <row r="102" spans="2:32" x14ac:dyDescent="0.3">
      <c r="B102">
        <v>78540</v>
      </c>
      <c r="C102">
        <v>2017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f>SUM(q2_raw[[#This Row],[1]:[28]])</f>
        <v>7</v>
      </c>
    </row>
    <row r="103" spans="2:32" x14ac:dyDescent="0.3">
      <c r="B103">
        <v>35533</v>
      </c>
      <c r="C103">
        <v>2017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  <c r="AE103">
        <v>1</v>
      </c>
      <c r="AF103">
        <f>SUM(q2_raw[[#This Row],[1]:[28]])</f>
        <v>10</v>
      </c>
    </row>
    <row r="104" spans="2:32" x14ac:dyDescent="0.3">
      <c r="B104">
        <v>26805</v>
      </c>
      <c r="C104">
        <v>2017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1</v>
      </c>
      <c r="AF104">
        <f>SUM(q2_raw[[#This Row],[1]:[28]])</f>
        <v>8</v>
      </c>
    </row>
    <row r="105" spans="2:32" x14ac:dyDescent="0.3">
      <c r="B105">
        <v>68693</v>
      </c>
      <c r="C105">
        <v>2017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f>SUM(q2_raw[[#This Row],[1]:[28]])</f>
        <v>10</v>
      </c>
    </row>
    <row r="106" spans="2:32" x14ac:dyDescent="0.3">
      <c r="B106">
        <v>44400</v>
      </c>
      <c r="C106">
        <v>2017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f>SUM(q2_raw[[#This Row],[1]:[28]])</f>
        <v>5</v>
      </c>
    </row>
    <row r="107" spans="2:32" x14ac:dyDescent="0.3">
      <c r="B107">
        <v>70501</v>
      </c>
      <c r="C107">
        <v>2017</v>
      </c>
      <c r="D107">
        <v>1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f>SUM(q2_raw[[#This Row],[1]:[28]])</f>
        <v>7</v>
      </c>
    </row>
    <row r="108" spans="2:32" x14ac:dyDescent="0.3">
      <c r="B108">
        <v>34579</v>
      </c>
      <c r="C108">
        <v>2017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f>SUM(q2_raw[[#This Row],[1]:[28]])</f>
        <v>7</v>
      </c>
    </row>
    <row r="109" spans="2:32" x14ac:dyDescent="0.3">
      <c r="B109">
        <v>45547</v>
      </c>
      <c r="C109">
        <v>2017</v>
      </c>
      <c r="D109">
        <v>0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1</v>
      </c>
      <c r="AB109">
        <v>0</v>
      </c>
      <c r="AC109">
        <v>1</v>
      </c>
      <c r="AD109">
        <v>0</v>
      </c>
      <c r="AE109">
        <v>0</v>
      </c>
      <c r="AF109">
        <f>SUM(q2_raw[[#This Row],[1]:[28]])</f>
        <v>8</v>
      </c>
    </row>
    <row r="110" spans="2:32" x14ac:dyDescent="0.3">
      <c r="B110">
        <v>14007</v>
      </c>
      <c r="C110">
        <v>2017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f>SUM(q2_raw[[#This Row],[1]:[28]])</f>
        <v>9</v>
      </c>
    </row>
    <row r="111" spans="2:32" x14ac:dyDescent="0.3">
      <c r="B111">
        <v>800</v>
      </c>
      <c r="C111">
        <v>2017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f>SUM(q2_raw[[#This Row],[1]:[28]])</f>
        <v>5</v>
      </c>
    </row>
    <row r="112" spans="2:32" x14ac:dyDescent="0.3">
      <c r="B112">
        <v>49474</v>
      </c>
      <c r="C112">
        <v>2017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f>SUM(q2_raw[[#This Row],[1]:[28]])</f>
        <v>8</v>
      </c>
    </row>
    <row r="113" spans="2:32" x14ac:dyDescent="0.3">
      <c r="B113">
        <v>671</v>
      </c>
      <c r="C113">
        <v>2017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1</v>
      </c>
      <c r="AF113">
        <f>SUM(q2_raw[[#This Row],[1]:[28]])</f>
        <v>8</v>
      </c>
    </row>
    <row r="114" spans="2:32" x14ac:dyDescent="0.3">
      <c r="B114">
        <v>24319</v>
      </c>
      <c r="C114">
        <v>2017</v>
      </c>
      <c r="D114">
        <v>1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f>SUM(q2_raw[[#This Row],[1]:[28]])</f>
        <v>10</v>
      </c>
    </row>
    <row r="115" spans="2:32" x14ac:dyDescent="0.3">
      <c r="B115">
        <v>34052</v>
      </c>
      <c r="C115">
        <v>2017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f>SUM(q2_raw[[#This Row],[1]:[28]])</f>
        <v>10</v>
      </c>
    </row>
    <row r="116" spans="2:32" x14ac:dyDescent="0.3">
      <c r="B116">
        <v>79867</v>
      </c>
      <c r="C116">
        <v>2017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f>SUM(q2_raw[[#This Row],[1]:[28]])</f>
        <v>7</v>
      </c>
    </row>
    <row r="117" spans="2:32" x14ac:dyDescent="0.3">
      <c r="B117">
        <v>63810</v>
      </c>
      <c r="C117">
        <v>2017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1</v>
      </c>
      <c r="AE117">
        <v>0</v>
      </c>
      <c r="AF117">
        <f>SUM(q2_raw[[#This Row],[1]:[28]])</f>
        <v>8</v>
      </c>
    </row>
    <row r="118" spans="2:32" x14ac:dyDescent="0.3">
      <c r="B118">
        <v>94457</v>
      </c>
      <c r="C118">
        <v>2017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1</v>
      </c>
      <c r="AF118">
        <f>SUM(q2_raw[[#This Row],[1]:[28]])</f>
        <v>7</v>
      </c>
    </row>
    <row r="119" spans="2:32" x14ac:dyDescent="0.3">
      <c r="B119">
        <v>7770</v>
      </c>
      <c r="C119">
        <v>2017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f>SUM(q2_raw[[#This Row],[1]:[28]])</f>
        <v>5</v>
      </c>
    </row>
    <row r="120" spans="2:32" x14ac:dyDescent="0.3">
      <c r="B120">
        <v>95977</v>
      </c>
      <c r="C120">
        <v>2017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0</v>
      </c>
      <c r="AF120">
        <f>SUM(q2_raw[[#This Row],[1]:[28]])</f>
        <v>11</v>
      </c>
    </row>
    <row r="121" spans="2:32" x14ac:dyDescent="0.3">
      <c r="B121">
        <v>81268</v>
      </c>
      <c r="C121">
        <v>2017</v>
      </c>
      <c r="D121">
        <v>0</v>
      </c>
      <c r="E121">
        <v>0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1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f>SUM(q2_raw[[#This Row],[1]:[28]])</f>
        <v>10</v>
      </c>
    </row>
    <row r="122" spans="2:32" x14ac:dyDescent="0.3">
      <c r="B122">
        <v>37520</v>
      </c>
      <c r="C122">
        <v>2017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f>SUM(q2_raw[[#This Row],[1]:[28]])</f>
        <v>4</v>
      </c>
    </row>
    <row r="123" spans="2:32" x14ac:dyDescent="0.3">
      <c r="B123">
        <v>11588</v>
      </c>
      <c r="C123">
        <v>2017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1</v>
      </c>
      <c r="X123">
        <v>0</v>
      </c>
      <c r="Y123">
        <v>1</v>
      </c>
      <c r="Z123">
        <v>0</v>
      </c>
      <c r="AA123">
        <v>1</v>
      </c>
      <c r="AB123">
        <v>1</v>
      </c>
      <c r="AC123">
        <v>1</v>
      </c>
      <c r="AD123">
        <v>0</v>
      </c>
      <c r="AE123">
        <v>0</v>
      </c>
      <c r="AF123">
        <f>SUM(q2_raw[[#This Row],[1]:[28]])</f>
        <v>9</v>
      </c>
    </row>
    <row r="124" spans="2:32" x14ac:dyDescent="0.3">
      <c r="B124">
        <v>27486</v>
      </c>
      <c r="C124">
        <v>2017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f>SUM(q2_raw[[#This Row],[1]:[28]])</f>
        <v>8</v>
      </c>
    </row>
    <row r="125" spans="2:32" x14ac:dyDescent="0.3">
      <c r="B125">
        <v>8741</v>
      </c>
      <c r="C125">
        <v>2017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0</v>
      </c>
      <c r="AD125">
        <v>0</v>
      </c>
      <c r="AE125">
        <v>1</v>
      </c>
      <c r="AF125">
        <f>SUM(q2_raw[[#This Row],[1]:[28]])</f>
        <v>12</v>
      </c>
    </row>
    <row r="126" spans="2:32" x14ac:dyDescent="0.3">
      <c r="B126">
        <v>92194</v>
      </c>
      <c r="C126">
        <v>2017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1</v>
      </c>
      <c r="AD126">
        <v>0</v>
      </c>
      <c r="AE126">
        <v>1</v>
      </c>
      <c r="AF126">
        <f>SUM(q2_raw[[#This Row],[1]:[28]])</f>
        <v>7</v>
      </c>
    </row>
    <row r="127" spans="2:32" x14ac:dyDescent="0.3">
      <c r="B127">
        <v>91219</v>
      </c>
      <c r="C127">
        <v>2017</v>
      </c>
      <c r="D127">
        <v>0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1</v>
      </c>
      <c r="AD127">
        <v>1</v>
      </c>
      <c r="AE127">
        <v>0</v>
      </c>
      <c r="AF127">
        <f>SUM(q2_raw[[#This Row],[1]:[28]])</f>
        <v>11</v>
      </c>
    </row>
    <row r="128" spans="2:32" x14ac:dyDescent="0.3">
      <c r="B128">
        <v>6311</v>
      </c>
      <c r="C128">
        <v>2017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1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1</v>
      </c>
      <c r="AF128">
        <f>SUM(q2_raw[[#This Row],[1]:[28]])</f>
        <v>10</v>
      </c>
    </row>
    <row r="129" spans="2:32" x14ac:dyDescent="0.3">
      <c r="B129">
        <v>46202</v>
      </c>
      <c r="C129">
        <v>2017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1</v>
      </c>
      <c r="V129">
        <v>0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f>SUM(q2_raw[[#This Row],[1]:[28]])</f>
        <v>11</v>
      </c>
    </row>
    <row r="130" spans="2:32" x14ac:dyDescent="0.3">
      <c r="B130">
        <v>97867</v>
      </c>
      <c r="C130">
        <v>2017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1</v>
      </c>
      <c r="AF130">
        <f>SUM(q2_raw[[#This Row],[1]:[28]])</f>
        <v>6</v>
      </c>
    </row>
    <row r="131" spans="2:32" x14ac:dyDescent="0.3">
      <c r="B131">
        <v>33836</v>
      </c>
      <c r="C131">
        <v>2017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f>SUM(q2_raw[[#This Row],[1]:[28]])</f>
        <v>6</v>
      </c>
    </row>
    <row r="132" spans="2:32" x14ac:dyDescent="0.3">
      <c r="B132">
        <v>78992</v>
      </c>
      <c r="C132">
        <v>2017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f>SUM(q2_raw[[#This Row],[1]:[28]])</f>
        <v>9</v>
      </c>
    </row>
    <row r="133" spans="2:32" x14ac:dyDescent="0.3">
      <c r="B133">
        <v>82852</v>
      </c>
      <c r="C133">
        <v>2017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f>SUM(q2_raw[[#This Row],[1]:[28]])</f>
        <v>9</v>
      </c>
    </row>
    <row r="134" spans="2:32" x14ac:dyDescent="0.3">
      <c r="B134">
        <v>48348</v>
      </c>
      <c r="C134">
        <v>2017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1</v>
      </c>
      <c r="AB134">
        <v>1</v>
      </c>
      <c r="AC134">
        <v>0</v>
      </c>
      <c r="AD134">
        <v>1</v>
      </c>
      <c r="AE134">
        <v>0</v>
      </c>
      <c r="AF134">
        <f>SUM(q2_raw[[#This Row],[1]:[28]])</f>
        <v>9</v>
      </c>
    </row>
    <row r="135" spans="2:32" x14ac:dyDescent="0.3">
      <c r="B135">
        <v>34280</v>
      </c>
      <c r="C135">
        <v>2017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f>SUM(q2_raw[[#This Row],[1]:[28]])</f>
        <v>6</v>
      </c>
    </row>
    <row r="136" spans="2:32" x14ac:dyDescent="0.3">
      <c r="B136">
        <v>1594</v>
      </c>
      <c r="C136">
        <v>2017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1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1</v>
      </c>
      <c r="AB136">
        <v>0</v>
      </c>
      <c r="AC136">
        <v>1</v>
      </c>
      <c r="AD136">
        <v>1</v>
      </c>
      <c r="AE136">
        <v>0</v>
      </c>
      <c r="AF136">
        <f>SUM(q2_raw[[#This Row],[1]:[28]])</f>
        <v>15</v>
      </c>
    </row>
    <row r="137" spans="2:32" x14ac:dyDescent="0.3">
      <c r="B137">
        <v>99858</v>
      </c>
      <c r="C137">
        <v>2017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1</v>
      </c>
      <c r="AE137">
        <v>1</v>
      </c>
      <c r="AF137">
        <f>SUM(q2_raw[[#This Row],[1]:[28]])</f>
        <v>12</v>
      </c>
    </row>
    <row r="138" spans="2:32" x14ac:dyDescent="0.3">
      <c r="B138">
        <v>64209</v>
      </c>
      <c r="C138">
        <v>2017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f>SUM(q2_raw[[#This Row],[1]:[28]])</f>
        <v>5</v>
      </c>
    </row>
    <row r="139" spans="2:32" x14ac:dyDescent="0.3">
      <c r="B139">
        <v>16988</v>
      </c>
      <c r="C139">
        <v>2017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1</v>
      </c>
      <c r="Y139">
        <v>1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f>SUM(q2_raw[[#This Row],[1]:[28]])</f>
        <v>8</v>
      </c>
    </row>
    <row r="140" spans="2:32" x14ac:dyDescent="0.3">
      <c r="B140">
        <v>14595</v>
      </c>
      <c r="C140">
        <v>2017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1</v>
      </c>
      <c r="AE140">
        <v>0</v>
      </c>
      <c r="AF140">
        <f>SUM(q2_raw[[#This Row],[1]:[28]])</f>
        <v>4</v>
      </c>
    </row>
    <row r="141" spans="2:32" x14ac:dyDescent="0.3">
      <c r="B141">
        <v>55565</v>
      </c>
      <c r="C141">
        <v>2017</v>
      </c>
      <c r="D141">
        <v>0</v>
      </c>
      <c r="E141">
        <v>1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f>SUM(q2_raw[[#This Row],[1]:[28]])</f>
        <v>7</v>
      </c>
    </row>
    <row r="142" spans="2:32" x14ac:dyDescent="0.3">
      <c r="B142">
        <v>78799</v>
      </c>
      <c r="C142">
        <v>2017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f>SUM(q2_raw[[#This Row],[1]:[28]])</f>
        <v>4</v>
      </c>
    </row>
    <row r="143" spans="2:32" x14ac:dyDescent="0.3">
      <c r="B143">
        <v>14914</v>
      </c>
      <c r="C143">
        <v>2017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</v>
      </c>
      <c r="AE143">
        <v>0</v>
      </c>
      <c r="AF143">
        <f>SUM(q2_raw[[#This Row],[1]:[28]])</f>
        <v>7</v>
      </c>
    </row>
    <row r="144" spans="2:32" x14ac:dyDescent="0.3">
      <c r="B144">
        <v>63761</v>
      </c>
      <c r="C144">
        <v>2017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v>0</v>
      </c>
      <c r="AF144">
        <f>SUM(q2_raw[[#This Row],[1]:[28]])</f>
        <v>6</v>
      </c>
    </row>
    <row r="145" spans="2:32" x14ac:dyDescent="0.3">
      <c r="B145">
        <v>30949</v>
      </c>
      <c r="C145">
        <v>2017</v>
      </c>
      <c r="D145">
        <v>0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1</v>
      </c>
      <c r="AD145">
        <v>1</v>
      </c>
      <c r="AE145">
        <v>1</v>
      </c>
      <c r="AF145">
        <f>SUM(q2_raw[[#This Row],[1]:[28]])</f>
        <v>13</v>
      </c>
    </row>
    <row r="146" spans="2:32" x14ac:dyDescent="0.3">
      <c r="B146">
        <v>78728</v>
      </c>
      <c r="C146">
        <v>2017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f>SUM(q2_raw[[#This Row],[1]:[28]])</f>
        <v>8</v>
      </c>
    </row>
    <row r="147" spans="2:32" x14ac:dyDescent="0.3">
      <c r="B147">
        <v>18626</v>
      </c>
      <c r="C147">
        <v>2017</v>
      </c>
      <c r="D147">
        <v>1</v>
      </c>
      <c r="E147">
        <v>0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0</v>
      </c>
      <c r="AF147">
        <f>SUM(q2_raw[[#This Row],[1]:[28]])</f>
        <v>12</v>
      </c>
    </row>
    <row r="148" spans="2:32" x14ac:dyDescent="0.3">
      <c r="B148">
        <v>1135</v>
      </c>
      <c r="C148">
        <v>2017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f>SUM(q2_raw[[#This Row],[1]:[28]])</f>
        <v>9</v>
      </c>
    </row>
    <row r="149" spans="2:32" x14ac:dyDescent="0.3">
      <c r="B149">
        <v>23751</v>
      </c>
      <c r="C149">
        <v>2017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f>SUM(q2_raw[[#This Row],[1]:[28]])</f>
        <v>9</v>
      </c>
    </row>
    <row r="150" spans="2:32" x14ac:dyDescent="0.3">
      <c r="B150">
        <v>6998</v>
      </c>
      <c r="C150">
        <v>2017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f>SUM(q2_raw[[#This Row],[1]:[28]])</f>
        <v>4</v>
      </c>
    </row>
    <row r="151" spans="2:32" x14ac:dyDescent="0.3">
      <c r="B151">
        <v>13255</v>
      </c>
      <c r="C151">
        <v>2017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f>SUM(q2_raw[[#This Row],[1]:[28]])</f>
        <v>6</v>
      </c>
    </row>
    <row r="152" spans="2:32" x14ac:dyDescent="0.3">
      <c r="B152">
        <v>48025</v>
      </c>
      <c r="C152">
        <v>2017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f>SUM(q2_raw[[#This Row],[1]:[28]])</f>
        <v>7</v>
      </c>
    </row>
    <row r="153" spans="2:32" x14ac:dyDescent="0.3">
      <c r="B153">
        <v>42795</v>
      </c>
      <c r="C153">
        <v>2017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1</v>
      </c>
      <c r="AF153">
        <f>SUM(q2_raw[[#This Row],[1]:[28]])</f>
        <v>11</v>
      </c>
    </row>
    <row r="154" spans="2:32" x14ac:dyDescent="0.3">
      <c r="B154">
        <v>26653</v>
      </c>
      <c r="C154">
        <v>2017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f>SUM(q2_raw[[#This Row],[1]:[28]])</f>
        <v>8</v>
      </c>
    </row>
    <row r="155" spans="2:32" x14ac:dyDescent="0.3">
      <c r="B155">
        <v>8070</v>
      </c>
      <c r="C155">
        <v>2017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f>SUM(q2_raw[[#This Row],[1]:[28]])</f>
        <v>11</v>
      </c>
    </row>
    <row r="156" spans="2:32" x14ac:dyDescent="0.3">
      <c r="B156">
        <v>14761</v>
      </c>
      <c r="C156">
        <v>2017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f>SUM(q2_raw[[#This Row],[1]:[28]])</f>
        <v>6</v>
      </c>
    </row>
    <row r="157" spans="2:32" x14ac:dyDescent="0.3">
      <c r="B157">
        <v>29210</v>
      </c>
      <c r="C157">
        <v>2017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f>SUM(q2_raw[[#This Row],[1]:[28]])</f>
        <v>9</v>
      </c>
    </row>
    <row r="158" spans="2:32" x14ac:dyDescent="0.3">
      <c r="B158">
        <v>67885</v>
      </c>
      <c r="C158">
        <v>2017</v>
      </c>
      <c r="D158">
        <v>1</v>
      </c>
      <c r="E158">
        <v>1</v>
      </c>
      <c r="F158">
        <v>0</v>
      </c>
      <c r="G158">
        <v>0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f>SUM(q2_raw[[#This Row],[1]:[28]])</f>
        <v>12</v>
      </c>
    </row>
    <row r="159" spans="2:32" x14ac:dyDescent="0.3">
      <c r="B159">
        <v>7809</v>
      </c>
      <c r="C159">
        <v>2017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1</v>
      </c>
      <c r="AE159">
        <v>1</v>
      </c>
      <c r="AF159">
        <f>SUM(q2_raw[[#This Row],[1]:[28]])</f>
        <v>9</v>
      </c>
    </row>
    <row r="160" spans="2:32" x14ac:dyDescent="0.3">
      <c r="B160">
        <v>70936</v>
      </c>
      <c r="C160">
        <v>2017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f>SUM(q2_raw[[#This Row],[1]:[28]])</f>
        <v>5</v>
      </c>
    </row>
    <row r="161" spans="2:32" x14ac:dyDescent="0.3">
      <c r="B161">
        <v>50211</v>
      </c>
      <c r="C161">
        <v>2017</v>
      </c>
      <c r="D161">
        <v>1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1</v>
      </c>
      <c r="Q161">
        <v>1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1</v>
      </c>
      <c r="X161">
        <v>1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f>SUM(q2_raw[[#This Row],[1]:[28]])</f>
        <v>15</v>
      </c>
    </row>
    <row r="162" spans="2:32" x14ac:dyDescent="0.3">
      <c r="B162">
        <v>20112</v>
      </c>
      <c r="C162">
        <v>2017</v>
      </c>
      <c r="D162">
        <v>1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f>SUM(q2_raw[[#This Row],[1]:[28]])</f>
        <v>5</v>
      </c>
    </row>
    <row r="163" spans="2:32" x14ac:dyDescent="0.3">
      <c r="B163">
        <v>98843</v>
      </c>
      <c r="C163">
        <v>2017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f>SUM(q2_raw[[#This Row],[1]:[28]])</f>
        <v>8</v>
      </c>
    </row>
    <row r="164" spans="2:32" x14ac:dyDescent="0.3">
      <c r="B164">
        <v>74334</v>
      </c>
      <c r="C164">
        <v>2017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1</v>
      </c>
      <c r="W164">
        <v>1</v>
      </c>
      <c r="X164">
        <v>0</v>
      </c>
      <c r="Y164">
        <v>1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1</v>
      </c>
      <c r="AF164">
        <f>SUM(q2_raw[[#This Row],[1]:[28]])</f>
        <v>10</v>
      </c>
    </row>
    <row r="165" spans="2:32" x14ac:dyDescent="0.3">
      <c r="B165">
        <v>78320</v>
      </c>
      <c r="C165">
        <v>2017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f>SUM(q2_raw[[#This Row],[1]:[28]])</f>
        <v>3</v>
      </c>
    </row>
    <row r="166" spans="2:32" x14ac:dyDescent="0.3">
      <c r="B166">
        <v>47437</v>
      </c>
      <c r="C166">
        <v>2017</v>
      </c>
      <c r="D166">
        <v>1</v>
      </c>
      <c r="E166">
        <v>0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f>SUM(q2_raw[[#This Row],[1]:[28]])</f>
        <v>10</v>
      </c>
    </row>
    <row r="167" spans="2:32" x14ac:dyDescent="0.3">
      <c r="B167">
        <v>55032</v>
      </c>
      <c r="C167">
        <v>2017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1</v>
      </c>
      <c r="P167">
        <v>0</v>
      </c>
      <c r="Q167">
        <v>1</v>
      </c>
      <c r="R167">
        <v>1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1</v>
      </c>
      <c r="AE167">
        <v>1</v>
      </c>
      <c r="AF167">
        <f>SUM(q2_raw[[#This Row],[1]:[28]])</f>
        <v>11</v>
      </c>
    </row>
    <row r="168" spans="2:32" x14ac:dyDescent="0.3">
      <c r="B168">
        <v>40454</v>
      </c>
      <c r="C168">
        <v>2017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f>SUM(q2_raw[[#This Row],[1]:[28]])</f>
        <v>11</v>
      </c>
    </row>
    <row r="169" spans="2:32" x14ac:dyDescent="0.3">
      <c r="B169">
        <v>1401</v>
      </c>
      <c r="C169">
        <v>2017</v>
      </c>
      <c r="D169">
        <v>0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0</v>
      </c>
      <c r="AC169">
        <v>1</v>
      </c>
      <c r="AD169">
        <v>0</v>
      </c>
      <c r="AE169">
        <v>0</v>
      </c>
      <c r="AF169">
        <f>SUM(q2_raw[[#This Row],[1]:[28]])</f>
        <v>14</v>
      </c>
    </row>
    <row r="170" spans="2:32" x14ac:dyDescent="0.3">
      <c r="B170">
        <v>25599</v>
      </c>
      <c r="C170">
        <v>2017</v>
      </c>
      <c r="D170">
        <v>1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f>SUM(q2_raw[[#This Row],[1]:[28]])</f>
        <v>8</v>
      </c>
    </row>
    <row r="171" spans="2:32" x14ac:dyDescent="0.3">
      <c r="B171">
        <v>45883</v>
      </c>
      <c r="C171">
        <v>2017</v>
      </c>
      <c r="D171">
        <v>0</v>
      </c>
      <c r="E171">
        <v>0</v>
      </c>
      <c r="F171">
        <v>1</v>
      </c>
      <c r="G171">
        <v>1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1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f>SUM(q2_raw[[#This Row],[1]:[28]])</f>
        <v>11</v>
      </c>
    </row>
    <row r="172" spans="2:32" x14ac:dyDescent="0.3">
      <c r="B172">
        <v>82274</v>
      </c>
      <c r="C172">
        <v>2017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1</v>
      </c>
      <c r="AD172">
        <v>1</v>
      </c>
      <c r="AE172">
        <v>0</v>
      </c>
      <c r="AF172">
        <f>SUM(q2_raw[[#This Row],[1]:[28]])</f>
        <v>7</v>
      </c>
    </row>
    <row r="173" spans="2:32" x14ac:dyDescent="0.3">
      <c r="B173">
        <v>83078</v>
      </c>
      <c r="C173">
        <v>2017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f>SUM(q2_raw[[#This Row],[1]:[28]])</f>
        <v>11</v>
      </c>
    </row>
    <row r="174" spans="2:32" x14ac:dyDescent="0.3">
      <c r="B174">
        <v>70899</v>
      </c>
      <c r="C174">
        <v>2017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f>SUM(q2_raw[[#This Row],[1]:[28]])</f>
        <v>11</v>
      </c>
    </row>
    <row r="175" spans="2:32" x14ac:dyDescent="0.3">
      <c r="B175">
        <v>82084</v>
      </c>
      <c r="C175">
        <v>2017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0</v>
      </c>
      <c r="AF175">
        <f>SUM(q2_raw[[#This Row],[1]:[28]])</f>
        <v>6</v>
      </c>
    </row>
    <row r="176" spans="2:32" x14ac:dyDescent="0.3">
      <c r="B176">
        <v>86210</v>
      </c>
      <c r="C176">
        <v>2017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  <c r="AE176">
        <v>1</v>
      </c>
      <c r="AF176">
        <f>SUM(q2_raw[[#This Row],[1]:[28]])</f>
        <v>9</v>
      </c>
    </row>
    <row r="177" spans="2:32" x14ac:dyDescent="0.3">
      <c r="B177">
        <v>3925</v>
      </c>
      <c r="C177">
        <v>2017</v>
      </c>
      <c r="D177">
        <v>0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  <c r="AE177">
        <v>0</v>
      </c>
      <c r="AF177">
        <f>SUM(q2_raw[[#This Row],[1]:[28]])</f>
        <v>8</v>
      </c>
    </row>
    <row r="178" spans="2:32" x14ac:dyDescent="0.3">
      <c r="B178">
        <v>11150</v>
      </c>
      <c r="C178">
        <v>2017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1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f>SUM(q2_raw[[#This Row],[1]:[28]])</f>
        <v>8</v>
      </c>
    </row>
    <row r="179" spans="2:32" x14ac:dyDescent="0.3">
      <c r="B179">
        <v>254</v>
      </c>
      <c r="C179">
        <v>2017</v>
      </c>
      <c r="D179">
        <v>1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1</v>
      </c>
      <c r="AD179">
        <v>1</v>
      </c>
      <c r="AE179">
        <v>1</v>
      </c>
      <c r="AF179">
        <f>SUM(q2_raw[[#This Row],[1]:[28]])</f>
        <v>9</v>
      </c>
    </row>
    <row r="180" spans="2:32" x14ac:dyDescent="0.3">
      <c r="B180">
        <v>34140</v>
      </c>
      <c r="C180">
        <v>2017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f>SUM(q2_raw[[#This Row],[1]:[28]])</f>
        <v>6</v>
      </c>
    </row>
    <row r="181" spans="2:32" x14ac:dyDescent="0.3">
      <c r="B181">
        <v>27098</v>
      </c>
      <c r="C181">
        <v>2017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f>SUM(q2_raw[[#This Row],[1]:[28]])</f>
        <v>8</v>
      </c>
    </row>
    <row r="182" spans="2:32" x14ac:dyDescent="0.3">
      <c r="B182">
        <v>87771</v>
      </c>
      <c r="C182">
        <v>2017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f>SUM(q2_raw[[#This Row],[1]:[28]])</f>
        <v>6</v>
      </c>
    </row>
    <row r="183" spans="2:32" x14ac:dyDescent="0.3">
      <c r="B183">
        <v>83784</v>
      </c>
      <c r="C183">
        <v>2017</v>
      </c>
      <c r="D183">
        <v>0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f>SUM(q2_raw[[#This Row],[1]:[28]])</f>
        <v>9</v>
      </c>
    </row>
    <row r="184" spans="2:32" x14ac:dyDescent="0.3">
      <c r="B184">
        <v>27373</v>
      </c>
      <c r="C184">
        <v>2017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1</v>
      </c>
      <c r="AC184">
        <v>0</v>
      </c>
      <c r="AD184">
        <v>1</v>
      </c>
      <c r="AE184">
        <v>0</v>
      </c>
      <c r="AF184">
        <f>SUM(q2_raw[[#This Row],[1]:[28]])</f>
        <v>9</v>
      </c>
    </row>
    <row r="185" spans="2:32" x14ac:dyDescent="0.3">
      <c r="B185">
        <v>65113</v>
      </c>
      <c r="C185">
        <v>2017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f>SUM(q2_raw[[#This Row],[1]:[28]])</f>
        <v>12</v>
      </c>
    </row>
    <row r="186" spans="2:32" x14ac:dyDescent="0.3">
      <c r="B186">
        <v>44570</v>
      </c>
      <c r="C186">
        <v>2017</v>
      </c>
      <c r="D186">
        <v>1</v>
      </c>
      <c r="E186">
        <v>0</v>
      </c>
      <c r="F186">
        <v>1</v>
      </c>
      <c r="G186">
        <v>1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f>SUM(q2_raw[[#This Row],[1]:[28]])</f>
        <v>11</v>
      </c>
    </row>
    <row r="187" spans="2:32" x14ac:dyDescent="0.3">
      <c r="B187">
        <v>93363</v>
      </c>
      <c r="C187">
        <v>2017</v>
      </c>
      <c r="D187">
        <v>1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1</v>
      </c>
      <c r="X187">
        <v>1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f>SUM(q2_raw[[#This Row],[1]:[28]])</f>
        <v>12</v>
      </c>
    </row>
    <row r="188" spans="2:32" x14ac:dyDescent="0.3">
      <c r="B188">
        <v>21374</v>
      </c>
      <c r="C188">
        <v>2017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f>SUM(q2_raw[[#This Row],[1]:[28]])</f>
        <v>9</v>
      </c>
    </row>
    <row r="189" spans="2:32" x14ac:dyDescent="0.3">
      <c r="B189">
        <v>33837</v>
      </c>
      <c r="C189">
        <v>2017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f>SUM(q2_raw[[#This Row],[1]:[28]])</f>
        <v>6</v>
      </c>
    </row>
    <row r="190" spans="2:32" x14ac:dyDescent="0.3">
      <c r="B190">
        <v>78218</v>
      </c>
      <c r="C190">
        <v>2017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1</v>
      </c>
      <c r="AA190">
        <v>1</v>
      </c>
      <c r="AB190">
        <v>1</v>
      </c>
      <c r="AC190">
        <v>0</v>
      </c>
      <c r="AD190">
        <v>0</v>
      </c>
      <c r="AE190">
        <v>0</v>
      </c>
      <c r="AF190">
        <f>SUM(q2_raw[[#This Row],[1]:[28]])</f>
        <v>10</v>
      </c>
    </row>
    <row r="191" spans="2:32" x14ac:dyDescent="0.3">
      <c r="B191">
        <v>12096</v>
      </c>
      <c r="C191">
        <v>2017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0</v>
      </c>
      <c r="AF191">
        <f>SUM(q2_raw[[#This Row],[1]:[28]])</f>
        <v>10</v>
      </c>
    </row>
    <row r="192" spans="2:32" x14ac:dyDescent="0.3">
      <c r="B192">
        <v>82356</v>
      </c>
      <c r="C192">
        <v>2017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1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f>SUM(q2_raw[[#This Row],[1]:[28]])</f>
        <v>7</v>
      </c>
    </row>
    <row r="193" spans="2:32" x14ac:dyDescent="0.3">
      <c r="B193">
        <v>16993</v>
      </c>
      <c r="C193">
        <v>2017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1</v>
      </c>
      <c r="Z193">
        <v>0</v>
      </c>
      <c r="AA193">
        <v>1</v>
      </c>
      <c r="AB193">
        <v>0</v>
      </c>
      <c r="AC193">
        <v>1</v>
      </c>
      <c r="AD193">
        <v>1</v>
      </c>
      <c r="AE193">
        <v>0</v>
      </c>
      <c r="AF193">
        <f>SUM(q2_raw[[#This Row],[1]:[28]])</f>
        <v>11</v>
      </c>
    </row>
    <row r="194" spans="2:32" x14ac:dyDescent="0.3">
      <c r="B194">
        <v>12282</v>
      </c>
      <c r="C194">
        <v>2017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f>SUM(q2_raw[[#This Row],[1]:[28]])</f>
        <v>4</v>
      </c>
    </row>
    <row r="195" spans="2:32" x14ac:dyDescent="0.3">
      <c r="B195">
        <v>15680</v>
      </c>
      <c r="C195">
        <v>2017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1</v>
      </c>
      <c r="AE195">
        <v>0</v>
      </c>
      <c r="AF195">
        <f>SUM(q2_raw[[#This Row],[1]:[28]])</f>
        <v>6</v>
      </c>
    </row>
    <row r="196" spans="2:32" x14ac:dyDescent="0.3">
      <c r="B196">
        <v>32393</v>
      </c>
      <c r="C196">
        <v>2017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0</v>
      </c>
      <c r="AE196">
        <v>1</v>
      </c>
      <c r="AF196">
        <f>SUM(q2_raw[[#This Row],[1]:[28]])</f>
        <v>6</v>
      </c>
    </row>
    <row r="197" spans="2:32" x14ac:dyDescent="0.3">
      <c r="B197">
        <v>84865</v>
      </c>
      <c r="C197">
        <v>2017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1</v>
      </c>
      <c r="AE197">
        <v>1</v>
      </c>
      <c r="AF197">
        <f>SUM(q2_raw[[#This Row],[1]:[28]])</f>
        <v>9</v>
      </c>
    </row>
    <row r="198" spans="2:32" x14ac:dyDescent="0.3">
      <c r="B198">
        <v>31350</v>
      </c>
      <c r="C198">
        <v>2017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</v>
      </c>
      <c r="J198">
        <v>1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f>SUM(q2_raw[[#This Row],[1]:[28]])</f>
        <v>8</v>
      </c>
    </row>
    <row r="199" spans="2:32" x14ac:dyDescent="0.3">
      <c r="B199">
        <v>91965</v>
      </c>
      <c r="C199">
        <v>2017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f>SUM(q2_raw[[#This Row],[1]:[28]])</f>
        <v>7</v>
      </c>
    </row>
    <row r="200" spans="2:32" x14ac:dyDescent="0.3">
      <c r="B200">
        <v>2720</v>
      </c>
      <c r="C200">
        <v>2017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f>SUM(q2_raw[[#This Row],[1]:[28]])</f>
        <v>11</v>
      </c>
    </row>
    <row r="201" spans="2:32" x14ac:dyDescent="0.3">
      <c r="B201">
        <v>84497</v>
      </c>
      <c r="C201">
        <v>2017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f>SUM(q2_raw[[#This Row],[1]:[28]])</f>
        <v>7</v>
      </c>
    </row>
    <row r="202" spans="2:32" x14ac:dyDescent="0.3">
      <c r="B202">
        <v>36426</v>
      </c>
      <c r="C202">
        <v>2017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f>SUM(q2_raw[[#This Row],[1]:[28]])</f>
        <v>6</v>
      </c>
    </row>
    <row r="203" spans="2:32" x14ac:dyDescent="0.3">
      <c r="B203">
        <v>32580</v>
      </c>
      <c r="C203">
        <v>2017</v>
      </c>
      <c r="D203">
        <v>1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1</v>
      </c>
      <c r="AE203">
        <v>1</v>
      </c>
      <c r="AF203">
        <f>SUM(q2_raw[[#This Row],[1]:[28]])</f>
        <v>11</v>
      </c>
    </row>
    <row r="204" spans="2:32" x14ac:dyDescent="0.3">
      <c r="B204">
        <v>92232</v>
      </c>
      <c r="C204">
        <v>2017</v>
      </c>
      <c r="D204">
        <v>0</v>
      </c>
      <c r="E204">
        <v>1</v>
      </c>
      <c r="F204">
        <v>1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f>SUM(q2_raw[[#This Row],[1]:[28]])</f>
        <v>11</v>
      </c>
    </row>
    <row r="205" spans="2:32" x14ac:dyDescent="0.3">
      <c r="B205">
        <v>50890</v>
      </c>
      <c r="C205">
        <v>2017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1</v>
      </c>
      <c r="AE205">
        <v>0</v>
      </c>
      <c r="AF205">
        <f>SUM(q2_raw[[#This Row],[1]:[28]])</f>
        <v>9</v>
      </c>
    </row>
    <row r="206" spans="2:32" x14ac:dyDescent="0.3">
      <c r="B206">
        <v>25218</v>
      </c>
      <c r="C206">
        <v>2017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f>SUM(q2_raw[[#This Row],[1]:[28]])</f>
        <v>9</v>
      </c>
    </row>
    <row r="207" spans="2:32" x14ac:dyDescent="0.3">
      <c r="B207">
        <v>4423</v>
      </c>
      <c r="C207">
        <v>2017</v>
      </c>
      <c r="D207">
        <v>0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  <c r="AE207">
        <v>1</v>
      </c>
      <c r="AF207">
        <f>SUM(q2_raw[[#This Row],[1]:[28]])</f>
        <v>11</v>
      </c>
    </row>
    <row r="208" spans="2:32" x14ac:dyDescent="0.3">
      <c r="B208">
        <v>31486</v>
      </c>
      <c r="C208">
        <v>2017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f>SUM(q2_raw[[#This Row],[1]:[28]])</f>
        <v>4</v>
      </c>
    </row>
    <row r="209" spans="2:32" x14ac:dyDescent="0.3">
      <c r="B209">
        <v>103</v>
      </c>
      <c r="C209">
        <v>2017</v>
      </c>
      <c r="D209">
        <v>1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1</v>
      </c>
      <c r="AB209">
        <v>1</v>
      </c>
      <c r="AC209">
        <v>0</v>
      </c>
      <c r="AD209">
        <v>0</v>
      </c>
      <c r="AE209">
        <v>0</v>
      </c>
      <c r="AF209">
        <f>SUM(q2_raw[[#This Row],[1]:[28]])</f>
        <v>9</v>
      </c>
    </row>
    <row r="210" spans="2:32" x14ac:dyDescent="0.3">
      <c r="B210">
        <v>60241</v>
      </c>
      <c r="C210">
        <v>2017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1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f>SUM(q2_raw[[#This Row],[1]:[28]])</f>
        <v>10</v>
      </c>
    </row>
    <row r="211" spans="2:32" x14ac:dyDescent="0.3">
      <c r="B211">
        <v>8971</v>
      </c>
      <c r="C211">
        <v>2017</v>
      </c>
      <c r="D211">
        <v>1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1</v>
      </c>
      <c r="K211">
        <v>1</v>
      </c>
      <c r="L211">
        <v>1</v>
      </c>
      <c r="M211">
        <v>0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f>SUM(q2_raw[[#This Row],[1]:[28]])</f>
        <v>9</v>
      </c>
    </row>
    <row r="212" spans="2:32" x14ac:dyDescent="0.3">
      <c r="B212">
        <v>92829</v>
      </c>
      <c r="C212">
        <v>2017</v>
      </c>
      <c r="D212">
        <v>0</v>
      </c>
      <c r="E212">
        <v>0</v>
      </c>
      <c r="F212">
        <v>1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f>SUM(q2_raw[[#This Row],[1]:[28]])</f>
        <v>7</v>
      </c>
    </row>
    <row r="213" spans="2:32" x14ac:dyDescent="0.3">
      <c r="B213">
        <v>71561</v>
      </c>
      <c r="C213">
        <v>2017</v>
      </c>
      <c r="D213">
        <v>1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f>SUM(q2_raw[[#This Row],[1]:[28]])</f>
        <v>7</v>
      </c>
    </row>
    <row r="214" spans="2:32" x14ac:dyDescent="0.3">
      <c r="B214">
        <v>41428</v>
      </c>
      <c r="C214">
        <v>2017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f>SUM(q2_raw[[#This Row],[1]:[28]])</f>
        <v>11</v>
      </c>
    </row>
    <row r="215" spans="2:32" x14ac:dyDescent="0.3">
      <c r="B215">
        <v>71740</v>
      </c>
      <c r="C215">
        <v>2017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1</v>
      </c>
      <c r="AB215">
        <v>1</v>
      </c>
      <c r="AC215">
        <v>0</v>
      </c>
      <c r="AD215">
        <v>0</v>
      </c>
      <c r="AE215">
        <v>0</v>
      </c>
      <c r="AF215">
        <f>SUM(q2_raw[[#This Row],[1]:[28]])</f>
        <v>7</v>
      </c>
    </row>
    <row r="216" spans="2:32" x14ac:dyDescent="0.3">
      <c r="B216">
        <v>61503</v>
      </c>
      <c r="C216">
        <v>2017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f>SUM(q2_raw[[#This Row],[1]:[28]])</f>
        <v>1</v>
      </c>
    </row>
    <row r="217" spans="2:32" x14ac:dyDescent="0.3">
      <c r="B217">
        <v>85089</v>
      </c>
      <c r="C217">
        <v>2017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f>SUM(q2_raw[[#This Row],[1]:[28]])</f>
        <v>6</v>
      </c>
    </row>
    <row r="218" spans="2:32" x14ac:dyDescent="0.3">
      <c r="B218">
        <v>78034</v>
      </c>
      <c r="C218">
        <v>2017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f>SUM(q2_raw[[#This Row],[1]:[28]])</f>
        <v>8</v>
      </c>
    </row>
    <row r="219" spans="2:32" x14ac:dyDescent="0.3">
      <c r="B219">
        <v>15757</v>
      </c>
      <c r="C219">
        <v>2017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f>SUM(q2_raw[[#This Row],[1]:[28]])</f>
        <v>8</v>
      </c>
    </row>
    <row r="220" spans="2:32" x14ac:dyDescent="0.3">
      <c r="B220">
        <v>7695</v>
      </c>
      <c r="C220">
        <v>2017</v>
      </c>
      <c r="D220">
        <v>0</v>
      </c>
      <c r="E220">
        <v>1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f>SUM(q2_raw[[#This Row],[1]:[28]])</f>
        <v>11</v>
      </c>
    </row>
    <row r="221" spans="2:32" x14ac:dyDescent="0.3">
      <c r="B221">
        <v>70810</v>
      </c>
      <c r="C221">
        <v>2017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1</v>
      </c>
      <c r="AD221">
        <v>1</v>
      </c>
      <c r="AE221">
        <v>0</v>
      </c>
      <c r="AF221">
        <f>SUM(q2_raw[[#This Row],[1]:[28]])</f>
        <v>10</v>
      </c>
    </row>
    <row r="222" spans="2:32" x14ac:dyDescent="0.3">
      <c r="B222">
        <v>81983</v>
      </c>
      <c r="C222">
        <v>2017</v>
      </c>
      <c r="D222">
        <v>0</v>
      </c>
      <c r="E222">
        <v>1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f>SUM(q2_raw[[#This Row],[1]:[28]])</f>
        <v>9</v>
      </c>
    </row>
    <row r="223" spans="2:32" x14ac:dyDescent="0.3">
      <c r="B223">
        <v>84230</v>
      </c>
      <c r="C223">
        <v>2017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f>SUM(q2_raw[[#This Row],[1]:[28]])</f>
        <v>9</v>
      </c>
    </row>
    <row r="224" spans="2:32" x14ac:dyDescent="0.3">
      <c r="B224">
        <v>89639</v>
      </c>
      <c r="C224">
        <v>2017</v>
      </c>
      <c r="D224">
        <v>1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f>SUM(q2_raw[[#This Row],[1]:[28]])</f>
        <v>7</v>
      </c>
    </row>
    <row r="225" spans="2:32" x14ac:dyDescent="0.3">
      <c r="B225">
        <v>95835</v>
      </c>
      <c r="C225">
        <v>2017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1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f>SUM(q2_raw[[#This Row],[1]:[28]])</f>
        <v>9</v>
      </c>
    </row>
    <row r="226" spans="2:32" x14ac:dyDescent="0.3">
      <c r="B226">
        <v>63892</v>
      </c>
      <c r="C226">
        <v>2017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f>SUM(q2_raw[[#This Row],[1]:[28]])</f>
        <v>6</v>
      </c>
    </row>
    <row r="227" spans="2:32" x14ac:dyDescent="0.3">
      <c r="B227">
        <v>86767</v>
      </c>
      <c r="C227">
        <v>2017</v>
      </c>
      <c r="D227">
        <v>0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1</v>
      </c>
      <c r="AD227">
        <v>1</v>
      </c>
      <c r="AE227">
        <v>0</v>
      </c>
      <c r="AF227">
        <f>SUM(q2_raw[[#This Row],[1]:[28]])</f>
        <v>9</v>
      </c>
    </row>
    <row r="228" spans="2:32" x14ac:dyDescent="0.3">
      <c r="B228">
        <v>17059</v>
      </c>
      <c r="C228">
        <v>2017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f>SUM(q2_raw[[#This Row],[1]:[28]])</f>
        <v>6</v>
      </c>
    </row>
    <row r="229" spans="2:32" x14ac:dyDescent="0.3">
      <c r="B229">
        <v>33387</v>
      </c>
      <c r="C229">
        <v>2017</v>
      </c>
      <c r="D229">
        <v>0</v>
      </c>
      <c r="E229">
        <v>1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f>SUM(q2_raw[[#This Row],[1]:[28]])</f>
        <v>7</v>
      </c>
    </row>
    <row r="230" spans="2:32" x14ac:dyDescent="0.3">
      <c r="B230">
        <v>57239</v>
      </c>
      <c r="C230">
        <v>2017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f>SUM(q2_raw[[#This Row],[1]:[28]])</f>
        <v>10</v>
      </c>
    </row>
    <row r="231" spans="2:32" x14ac:dyDescent="0.3">
      <c r="B231">
        <v>13982</v>
      </c>
      <c r="C231">
        <v>2017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f>SUM(q2_raw[[#This Row],[1]:[28]])</f>
        <v>8</v>
      </c>
    </row>
    <row r="232" spans="2:32" x14ac:dyDescent="0.3">
      <c r="B232">
        <v>74035</v>
      </c>
      <c r="C232">
        <v>2017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f>SUM(q2_raw[[#This Row],[1]:[28]])</f>
        <v>5</v>
      </c>
    </row>
    <row r="233" spans="2:32" x14ac:dyDescent="0.3">
      <c r="B233">
        <v>26905</v>
      </c>
      <c r="C233">
        <v>2017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f>SUM(q2_raw[[#This Row],[1]:[28]])</f>
        <v>7</v>
      </c>
    </row>
    <row r="234" spans="2:32" x14ac:dyDescent="0.3">
      <c r="B234">
        <v>57224</v>
      </c>
      <c r="C234">
        <v>2017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1</v>
      </c>
      <c r="AF234">
        <f>SUM(q2_raw[[#This Row],[1]:[28]])</f>
        <v>9</v>
      </c>
    </row>
    <row r="235" spans="2:32" x14ac:dyDescent="0.3">
      <c r="B235">
        <v>21546</v>
      </c>
      <c r="C235">
        <v>2017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0</v>
      </c>
      <c r="AC235">
        <v>1</v>
      </c>
      <c r="AD235">
        <v>0</v>
      </c>
      <c r="AE235">
        <v>0</v>
      </c>
      <c r="AF235">
        <f>SUM(q2_raw[[#This Row],[1]:[28]])</f>
        <v>7</v>
      </c>
    </row>
    <row r="236" spans="2:32" x14ac:dyDescent="0.3">
      <c r="B236">
        <v>28857</v>
      </c>
      <c r="C236">
        <v>2017</v>
      </c>
      <c r="D236">
        <v>0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1</v>
      </c>
      <c r="AB236">
        <v>0</v>
      </c>
      <c r="AC236">
        <v>1</v>
      </c>
      <c r="AD236">
        <v>0</v>
      </c>
      <c r="AE236">
        <v>0</v>
      </c>
      <c r="AF236">
        <f>SUM(q2_raw[[#This Row],[1]:[28]])</f>
        <v>7</v>
      </c>
    </row>
    <row r="237" spans="2:32" x14ac:dyDescent="0.3">
      <c r="B237">
        <v>32654</v>
      </c>
      <c r="C237">
        <v>2017</v>
      </c>
      <c r="D237">
        <v>1</v>
      </c>
      <c r="E237">
        <v>1</v>
      </c>
      <c r="F237">
        <v>1</v>
      </c>
      <c r="G237">
        <v>1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1</v>
      </c>
      <c r="Z237">
        <v>1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f>SUM(q2_raw[[#This Row],[1]:[28]])</f>
        <v>12</v>
      </c>
    </row>
    <row r="238" spans="2:32" x14ac:dyDescent="0.3">
      <c r="B238">
        <v>87083</v>
      </c>
      <c r="C238">
        <v>2017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f>SUM(q2_raw[[#This Row],[1]:[28]])</f>
        <v>6</v>
      </c>
    </row>
    <row r="239" spans="2:32" x14ac:dyDescent="0.3">
      <c r="B239">
        <v>38664</v>
      </c>
      <c r="C239">
        <v>2017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1</v>
      </c>
      <c r="AF239">
        <f>SUM(q2_raw[[#This Row],[1]:[28]])</f>
        <v>7</v>
      </c>
    </row>
    <row r="240" spans="2:32" x14ac:dyDescent="0.3">
      <c r="B240">
        <v>59835</v>
      </c>
      <c r="C240">
        <v>2017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f>SUM(q2_raw[[#This Row],[1]:[28]])</f>
        <v>3</v>
      </c>
    </row>
    <row r="241" spans="2:32" x14ac:dyDescent="0.3">
      <c r="B241">
        <v>8455</v>
      </c>
      <c r="C241">
        <v>2017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1</v>
      </c>
      <c r="AB241">
        <v>1</v>
      </c>
      <c r="AC241">
        <v>0</v>
      </c>
      <c r="AD241">
        <v>0</v>
      </c>
      <c r="AE241">
        <v>0</v>
      </c>
      <c r="AF241">
        <f>SUM(q2_raw[[#This Row],[1]:[28]])</f>
        <v>6</v>
      </c>
    </row>
    <row r="242" spans="2:32" x14ac:dyDescent="0.3">
      <c r="B242">
        <v>30399</v>
      </c>
      <c r="C242">
        <v>2017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f>SUM(q2_raw[[#This Row],[1]:[28]])</f>
        <v>6</v>
      </c>
    </row>
    <row r="243" spans="2:32" x14ac:dyDescent="0.3">
      <c r="B243">
        <v>69877</v>
      </c>
      <c r="C243">
        <v>2017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f>SUM(q2_raw[[#This Row],[1]:[28]])</f>
        <v>7</v>
      </c>
    </row>
    <row r="244" spans="2:32" x14ac:dyDescent="0.3">
      <c r="B244">
        <v>3938</v>
      </c>
      <c r="C244">
        <v>2017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1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1</v>
      </c>
      <c r="AD244">
        <v>0</v>
      </c>
      <c r="AE244">
        <v>1</v>
      </c>
      <c r="AF244">
        <f>SUM(q2_raw[[#This Row],[1]:[28]])</f>
        <v>10</v>
      </c>
    </row>
    <row r="245" spans="2:32" x14ac:dyDescent="0.3">
      <c r="B245">
        <v>19635</v>
      </c>
      <c r="C245">
        <v>2017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>
        <f>SUM(q2_raw[[#This Row],[1]:[28]])</f>
        <v>5</v>
      </c>
    </row>
    <row r="246" spans="2:32" x14ac:dyDescent="0.3">
      <c r="B246">
        <v>66240</v>
      </c>
      <c r="C246">
        <v>2017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f>SUM(q2_raw[[#This Row],[1]:[28]])</f>
        <v>7</v>
      </c>
    </row>
    <row r="247" spans="2:32" x14ac:dyDescent="0.3">
      <c r="B247">
        <v>40081</v>
      </c>
      <c r="C247">
        <v>2017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f>SUM(q2_raw[[#This Row],[1]:[28]])</f>
        <v>5</v>
      </c>
    </row>
    <row r="248" spans="2:32" x14ac:dyDescent="0.3">
      <c r="B248">
        <v>81689</v>
      </c>
      <c r="C248">
        <v>2017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1</v>
      </c>
      <c r="AF248">
        <f>SUM(q2_raw[[#This Row],[1]:[28]])</f>
        <v>6</v>
      </c>
    </row>
    <row r="249" spans="2:32" x14ac:dyDescent="0.3">
      <c r="B249">
        <v>90186</v>
      </c>
      <c r="C249">
        <v>2017</v>
      </c>
      <c r="D249">
        <v>0</v>
      </c>
      <c r="E249">
        <v>1</v>
      </c>
      <c r="F249">
        <v>0</v>
      </c>
      <c r="G249">
        <v>1</v>
      </c>
      <c r="H249">
        <v>1</v>
      </c>
      <c r="I249">
        <v>1</v>
      </c>
      <c r="J249">
        <v>0</v>
      </c>
      <c r="K249">
        <v>1</v>
      </c>
      <c r="L249">
        <v>0</v>
      </c>
      <c r="M249">
        <v>1</v>
      </c>
      <c r="N249">
        <v>1</v>
      </c>
      <c r="O249">
        <v>0</v>
      </c>
      <c r="P249">
        <v>1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f>SUM(q2_raw[[#This Row],[1]:[28]])</f>
        <v>10</v>
      </c>
    </row>
    <row r="250" spans="2:32" x14ac:dyDescent="0.3">
      <c r="B250">
        <v>99058</v>
      </c>
      <c r="C250">
        <v>2017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0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f>SUM(q2_raw[[#This Row],[1]:[28]])</f>
        <v>7</v>
      </c>
    </row>
    <row r="251" spans="2:32" x14ac:dyDescent="0.3">
      <c r="B251">
        <v>65882</v>
      </c>
      <c r="C251">
        <v>2017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f>SUM(q2_raw[[#This Row],[1]:[28]])</f>
        <v>5</v>
      </c>
    </row>
    <row r="252" spans="2:32" x14ac:dyDescent="0.3">
      <c r="B252">
        <v>61611</v>
      </c>
      <c r="C252">
        <v>2017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1</v>
      </c>
      <c r="AB252">
        <v>0</v>
      </c>
      <c r="AC252">
        <v>1</v>
      </c>
      <c r="AD252">
        <v>0</v>
      </c>
      <c r="AE252">
        <v>0</v>
      </c>
      <c r="AF252">
        <f>SUM(q2_raw[[#This Row],[1]:[28]])</f>
        <v>9</v>
      </c>
    </row>
    <row r="253" spans="2:32" x14ac:dyDescent="0.3">
      <c r="B253">
        <v>63966</v>
      </c>
      <c r="C253">
        <v>2017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1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f>SUM(q2_raw[[#This Row],[1]:[28]])</f>
        <v>7</v>
      </c>
    </row>
    <row r="254" spans="2:32" x14ac:dyDescent="0.3">
      <c r="B254">
        <v>93640</v>
      </c>
      <c r="C254">
        <v>2017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1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f>SUM(q2_raw[[#This Row],[1]:[28]])</f>
        <v>9</v>
      </c>
    </row>
    <row r="255" spans="2:32" x14ac:dyDescent="0.3">
      <c r="B255">
        <v>22996</v>
      </c>
      <c r="C255">
        <v>2017</v>
      </c>
      <c r="D255">
        <v>1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f>SUM(q2_raw[[#This Row],[1]:[28]])</f>
        <v>8</v>
      </c>
    </row>
    <row r="256" spans="2:32" x14ac:dyDescent="0.3">
      <c r="B256">
        <v>1263</v>
      </c>
      <c r="C256">
        <v>2017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1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f>SUM(q2_raw[[#This Row],[1]:[28]])</f>
        <v>8</v>
      </c>
    </row>
    <row r="257" spans="2:32" x14ac:dyDescent="0.3">
      <c r="B257">
        <v>54989</v>
      </c>
      <c r="C257">
        <v>2017</v>
      </c>
      <c r="D257">
        <v>0</v>
      </c>
      <c r="E257">
        <v>1</v>
      </c>
      <c r="F257">
        <v>0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f>SUM(q2_raw[[#This Row],[1]:[28]])</f>
        <v>9</v>
      </c>
    </row>
    <row r="258" spans="2:32" x14ac:dyDescent="0.3">
      <c r="B258">
        <v>42779</v>
      </c>
      <c r="C258">
        <v>2017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f>SUM(q2_raw[[#This Row],[1]:[28]])</f>
        <v>11</v>
      </c>
    </row>
    <row r="259" spans="2:32" x14ac:dyDescent="0.3">
      <c r="B259">
        <v>96635</v>
      </c>
      <c r="C259">
        <v>2017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f>SUM(q2_raw[[#This Row],[1]:[28]])</f>
        <v>10</v>
      </c>
    </row>
    <row r="260" spans="2:32" x14ac:dyDescent="0.3">
      <c r="B260">
        <v>57802</v>
      </c>
      <c r="C260">
        <v>2017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1</v>
      </c>
      <c r="S260">
        <v>1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1</v>
      </c>
      <c r="AB260">
        <v>0</v>
      </c>
      <c r="AC260">
        <v>1</v>
      </c>
      <c r="AD260">
        <v>0</v>
      </c>
      <c r="AE260">
        <v>0</v>
      </c>
      <c r="AF260">
        <f>SUM(q2_raw[[#This Row],[1]:[28]])</f>
        <v>12</v>
      </c>
    </row>
    <row r="261" spans="2:32" x14ac:dyDescent="0.3">
      <c r="B261">
        <v>84657</v>
      </c>
      <c r="C261">
        <v>2017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1</v>
      </c>
      <c r="AE261">
        <v>0</v>
      </c>
      <c r="AF261">
        <f>SUM(q2_raw[[#This Row],[1]:[28]])</f>
        <v>6</v>
      </c>
    </row>
    <row r="262" spans="2:32" x14ac:dyDescent="0.3">
      <c r="B262">
        <v>54185</v>
      </c>
      <c r="C262">
        <v>2017</v>
      </c>
      <c r="D262">
        <v>1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f>SUM(q2_raw[[#This Row],[1]:[28]])</f>
        <v>8</v>
      </c>
    </row>
    <row r="263" spans="2:32" x14ac:dyDescent="0.3">
      <c r="B263">
        <v>87637</v>
      </c>
      <c r="C263">
        <v>2017</v>
      </c>
      <c r="D263">
        <v>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1</v>
      </c>
      <c r="Z263">
        <v>0</v>
      </c>
      <c r="AA263">
        <v>1</v>
      </c>
      <c r="AB263">
        <v>1</v>
      </c>
      <c r="AC263">
        <v>0</v>
      </c>
      <c r="AD263">
        <v>0</v>
      </c>
      <c r="AE263">
        <v>1</v>
      </c>
      <c r="AF263">
        <f>SUM(q2_raw[[#This Row],[1]:[28]])</f>
        <v>9</v>
      </c>
    </row>
    <row r="264" spans="2:32" x14ac:dyDescent="0.3">
      <c r="B264">
        <v>41569</v>
      </c>
      <c r="C264">
        <v>2017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1</v>
      </c>
      <c r="W264">
        <v>0</v>
      </c>
      <c r="X264">
        <v>1</v>
      </c>
      <c r="Y264">
        <v>1</v>
      </c>
      <c r="Z264">
        <v>1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f>SUM(q2_raw[[#This Row],[1]:[28]])</f>
        <v>13</v>
      </c>
    </row>
    <row r="265" spans="2:32" x14ac:dyDescent="0.3">
      <c r="B265">
        <v>49419</v>
      </c>
      <c r="C265">
        <v>2017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f>SUM(q2_raw[[#This Row],[1]:[28]])</f>
        <v>7</v>
      </c>
    </row>
    <row r="266" spans="2:32" x14ac:dyDescent="0.3">
      <c r="B266">
        <v>13530</v>
      </c>
      <c r="C266">
        <v>2017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f>SUM(q2_raw[[#This Row],[1]:[28]])</f>
        <v>8</v>
      </c>
    </row>
    <row r="267" spans="2:32" x14ac:dyDescent="0.3">
      <c r="B267">
        <v>95472</v>
      </c>
      <c r="C267">
        <v>2017</v>
      </c>
      <c r="D267">
        <v>1</v>
      </c>
      <c r="E267">
        <v>1</v>
      </c>
      <c r="F267">
        <v>0</v>
      </c>
      <c r="G267">
        <v>0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f>SUM(q2_raw[[#This Row],[1]:[28]])</f>
        <v>8</v>
      </c>
    </row>
    <row r="268" spans="2:32" x14ac:dyDescent="0.3">
      <c r="B268">
        <v>64684</v>
      </c>
      <c r="C268">
        <v>2017</v>
      </c>
      <c r="D268">
        <v>1</v>
      </c>
      <c r="E268">
        <v>0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0</v>
      </c>
      <c r="AE268">
        <v>1</v>
      </c>
      <c r="AF268">
        <f>SUM(q2_raw[[#This Row],[1]:[28]])</f>
        <v>13</v>
      </c>
    </row>
    <row r="269" spans="2:32" x14ac:dyDescent="0.3">
      <c r="B269">
        <v>35639</v>
      </c>
      <c r="C269">
        <v>2017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1</v>
      </c>
      <c r="AE269">
        <v>1</v>
      </c>
      <c r="AF269">
        <f>SUM(q2_raw[[#This Row],[1]:[28]])</f>
        <v>13</v>
      </c>
    </row>
    <row r="270" spans="2:32" x14ac:dyDescent="0.3">
      <c r="B270">
        <v>7853</v>
      </c>
      <c r="C270">
        <v>2017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f>SUM(q2_raw[[#This Row],[1]:[28]])</f>
        <v>6</v>
      </c>
    </row>
    <row r="271" spans="2:32" x14ac:dyDescent="0.3">
      <c r="B271">
        <v>23764</v>
      </c>
      <c r="C271">
        <v>2017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1</v>
      </c>
      <c r="W271">
        <v>0</v>
      </c>
      <c r="X271">
        <v>0</v>
      </c>
      <c r="Y271">
        <v>1</v>
      </c>
      <c r="Z271">
        <v>0</v>
      </c>
      <c r="AA271">
        <v>1</v>
      </c>
      <c r="AB271">
        <v>0</v>
      </c>
      <c r="AC271">
        <v>1</v>
      </c>
      <c r="AD271">
        <v>0</v>
      </c>
      <c r="AE271">
        <v>0</v>
      </c>
      <c r="AF271">
        <f>SUM(q2_raw[[#This Row],[1]:[28]])</f>
        <v>10</v>
      </c>
    </row>
    <row r="272" spans="2:32" x14ac:dyDescent="0.3">
      <c r="B272">
        <v>15634</v>
      </c>
      <c r="C272">
        <v>2017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f>SUM(q2_raw[[#This Row],[1]:[28]])</f>
        <v>5</v>
      </c>
    </row>
    <row r="273" spans="2:32" x14ac:dyDescent="0.3">
      <c r="B273">
        <v>31537</v>
      </c>
      <c r="C273">
        <v>2017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f>SUM(q2_raw[[#This Row],[1]:[28]])</f>
        <v>4</v>
      </c>
    </row>
    <row r="274" spans="2:32" x14ac:dyDescent="0.3">
      <c r="B274">
        <v>31025</v>
      </c>
      <c r="C274">
        <v>2017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f>SUM(q2_raw[[#This Row],[1]:[28]])</f>
        <v>10</v>
      </c>
    </row>
    <row r="275" spans="2:32" x14ac:dyDescent="0.3">
      <c r="B275">
        <v>4528</v>
      </c>
      <c r="C275">
        <v>2017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1</v>
      </c>
      <c r="Z275">
        <v>0</v>
      </c>
      <c r="AA275">
        <v>1</v>
      </c>
      <c r="AB275">
        <v>1</v>
      </c>
      <c r="AC275">
        <v>0</v>
      </c>
      <c r="AD275">
        <v>0</v>
      </c>
      <c r="AE275">
        <v>0</v>
      </c>
      <c r="AF275">
        <f>SUM(q2_raw[[#This Row],[1]:[28]])</f>
        <v>13</v>
      </c>
    </row>
    <row r="276" spans="2:32" x14ac:dyDescent="0.3">
      <c r="B276">
        <v>48540</v>
      </c>
      <c r="C276">
        <v>2017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1</v>
      </c>
      <c r="AF276">
        <f>SUM(q2_raw[[#This Row],[1]:[28]])</f>
        <v>9</v>
      </c>
    </row>
    <row r="277" spans="2:32" x14ac:dyDescent="0.3">
      <c r="B277">
        <v>53259</v>
      </c>
      <c r="C277">
        <v>2017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f>SUM(q2_raw[[#This Row],[1]:[28]])</f>
        <v>8</v>
      </c>
    </row>
    <row r="278" spans="2:32" x14ac:dyDescent="0.3">
      <c r="B278">
        <v>27734</v>
      </c>
      <c r="C278">
        <v>2017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1</v>
      </c>
      <c r="AD278">
        <v>1</v>
      </c>
      <c r="AE278">
        <v>0</v>
      </c>
      <c r="AF278">
        <f>SUM(q2_raw[[#This Row],[1]:[28]])</f>
        <v>11</v>
      </c>
    </row>
    <row r="279" spans="2:32" x14ac:dyDescent="0.3">
      <c r="B279">
        <v>55735</v>
      </c>
      <c r="C279">
        <v>2017</v>
      </c>
      <c r="D279">
        <v>1</v>
      </c>
      <c r="E279">
        <v>1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1</v>
      </c>
      <c r="AE279">
        <v>1</v>
      </c>
      <c r="AF279">
        <f>SUM(q2_raw[[#This Row],[1]:[28]])</f>
        <v>9</v>
      </c>
    </row>
    <row r="280" spans="2:32" x14ac:dyDescent="0.3">
      <c r="B280">
        <v>50272</v>
      </c>
      <c r="C280">
        <v>2017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1</v>
      </c>
      <c r="AF280">
        <f>SUM(q2_raw[[#This Row],[1]:[28]])</f>
        <v>7</v>
      </c>
    </row>
    <row r="281" spans="2:32" x14ac:dyDescent="0.3">
      <c r="B281">
        <v>58331</v>
      </c>
      <c r="C281">
        <v>2017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f>SUM(q2_raw[[#This Row],[1]:[28]])</f>
        <v>9</v>
      </c>
    </row>
    <row r="282" spans="2:32" x14ac:dyDescent="0.3">
      <c r="B282">
        <v>40105</v>
      </c>
      <c r="C282">
        <v>2017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f>SUM(q2_raw[[#This Row],[1]:[28]])</f>
        <v>8</v>
      </c>
    </row>
    <row r="283" spans="2:32" x14ac:dyDescent="0.3">
      <c r="B283">
        <v>31771</v>
      </c>
      <c r="C283">
        <v>2017</v>
      </c>
      <c r="D283">
        <v>0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f>SUM(q2_raw[[#This Row],[1]:[28]])</f>
        <v>5</v>
      </c>
    </row>
    <row r="284" spans="2:32" x14ac:dyDescent="0.3">
      <c r="B284">
        <v>22843</v>
      </c>
      <c r="C284">
        <v>2017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1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f>SUM(q2_raw[[#This Row],[1]:[28]])</f>
        <v>8</v>
      </c>
    </row>
    <row r="285" spans="2:32" x14ac:dyDescent="0.3">
      <c r="B285">
        <v>63965</v>
      </c>
      <c r="C285">
        <v>2017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1</v>
      </c>
      <c r="AA285">
        <v>0</v>
      </c>
      <c r="AB285">
        <v>1</v>
      </c>
      <c r="AC285">
        <v>1</v>
      </c>
      <c r="AD285">
        <v>1</v>
      </c>
      <c r="AE285">
        <v>1</v>
      </c>
      <c r="AF285">
        <f>SUM(q2_raw[[#This Row],[1]:[28]])</f>
        <v>10</v>
      </c>
    </row>
    <row r="286" spans="2:32" x14ac:dyDescent="0.3">
      <c r="B286">
        <v>90350</v>
      </c>
      <c r="C286">
        <v>2017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f>SUM(q2_raw[[#This Row],[1]:[28]])</f>
        <v>7</v>
      </c>
    </row>
    <row r="287" spans="2:32" x14ac:dyDescent="0.3">
      <c r="B287">
        <v>29875</v>
      </c>
      <c r="C287">
        <v>2017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f>SUM(q2_raw[[#This Row],[1]:[28]])</f>
        <v>7</v>
      </c>
    </row>
    <row r="288" spans="2:32" x14ac:dyDescent="0.3">
      <c r="B288">
        <v>21743</v>
      </c>
      <c r="C288">
        <v>2017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1</v>
      </c>
      <c r="Y288">
        <v>1</v>
      </c>
      <c r="Z288">
        <v>1</v>
      </c>
      <c r="AA288">
        <v>1</v>
      </c>
      <c r="AB288">
        <v>0</v>
      </c>
      <c r="AC288">
        <v>0</v>
      </c>
      <c r="AD288">
        <v>1</v>
      </c>
      <c r="AE288">
        <v>0</v>
      </c>
      <c r="AF288">
        <f>SUM(q2_raw[[#This Row],[1]:[28]])</f>
        <v>9</v>
      </c>
    </row>
    <row r="289" spans="2:32" x14ac:dyDescent="0.3">
      <c r="B289">
        <v>40926</v>
      </c>
      <c r="C289">
        <v>2017</v>
      </c>
      <c r="D289">
        <v>1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1</v>
      </c>
      <c r="AE289">
        <v>0</v>
      </c>
      <c r="AF289">
        <f>SUM(q2_raw[[#This Row],[1]:[28]])</f>
        <v>9</v>
      </c>
    </row>
    <row r="290" spans="2:32" x14ac:dyDescent="0.3">
      <c r="B290">
        <v>99992</v>
      </c>
      <c r="C290">
        <v>2017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</v>
      </c>
      <c r="J290">
        <v>1</v>
      </c>
      <c r="K290">
        <v>1</v>
      </c>
      <c r="L290">
        <v>1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1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f>SUM(q2_raw[[#This Row],[1]:[28]])</f>
        <v>11</v>
      </c>
    </row>
    <row r="291" spans="2:32" x14ac:dyDescent="0.3">
      <c r="B291">
        <v>90626</v>
      </c>
      <c r="C291">
        <v>2017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f>SUM(q2_raw[[#This Row],[1]:[28]])</f>
        <v>10</v>
      </c>
    </row>
    <row r="292" spans="2:32" x14ac:dyDescent="0.3">
      <c r="B292">
        <v>14846</v>
      </c>
      <c r="C292">
        <v>2017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1</v>
      </c>
      <c r="AB292">
        <v>0</v>
      </c>
      <c r="AC292">
        <v>0</v>
      </c>
      <c r="AD292">
        <v>1</v>
      </c>
      <c r="AE292">
        <v>0</v>
      </c>
      <c r="AF292">
        <f>SUM(q2_raw[[#This Row],[1]:[28]])</f>
        <v>6</v>
      </c>
    </row>
    <row r="293" spans="2:32" x14ac:dyDescent="0.3">
      <c r="B293">
        <v>59342</v>
      </c>
      <c r="C293">
        <v>2017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1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f>SUM(q2_raw[[#This Row],[1]:[28]])</f>
        <v>8</v>
      </c>
    </row>
    <row r="294" spans="2:32" x14ac:dyDescent="0.3">
      <c r="B294">
        <v>37403</v>
      </c>
      <c r="C294">
        <v>2017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1</v>
      </c>
      <c r="U294">
        <v>0</v>
      </c>
      <c r="V294">
        <v>1</v>
      </c>
      <c r="W294">
        <v>0</v>
      </c>
      <c r="X294">
        <v>0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f>SUM(q2_raw[[#This Row],[1]:[28]])</f>
        <v>7</v>
      </c>
    </row>
    <row r="295" spans="2:32" x14ac:dyDescent="0.3">
      <c r="B295">
        <v>65590</v>
      </c>
      <c r="C295">
        <v>2017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1</v>
      </c>
      <c r="AC295">
        <v>1</v>
      </c>
      <c r="AD295">
        <v>0</v>
      </c>
      <c r="AE295">
        <v>1</v>
      </c>
      <c r="AF295">
        <f>SUM(q2_raw[[#This Row],[1]:[28]])</f>
        <v>6</v>
      </c>
    </row>
    <row r="296" spans="2:32" x14ac:dyDescent="0.3">
      <c r="B296">
        <v>57871</v>
      </c>
      <c r="C296">
        <v>2017</v>
      </c>
      <c r="D296">
        <v>0</v>
      </c>
      <c r="E296">
        <v>1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f>SUM(q2_raw[[#This Row],[1]:[28]])</f>
        <v>8</v>
      </c>
    </row>
    <row r="297" spans="2:32" x14ac:dyDescent="0.3">
      <c r="B297">
        <v>6226</v>
      </c>
      <c r="C297">
        <v>2017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0</v>
      </c>
      <c r="AE297">
        <v>1</v>
      </c>
      <c r="AF297">
        <f>SUM(q2_raw[[#This Row],[1]:[28]])</f>
        <v>7</v>
      </c>
    </row>
    <row r="298" spans="2:32" x14ac:dyDescent="0.3">
      <c r="B298">
        <v>79172</v>
      </c>
      <c r="C298">
        <v>2017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f>SUM(q2_raw[[#This Row],[1]:[28]])</f>
        <v>5</v>
      </c>
    </row>
    <row r="299" spans="2:32" x14ac:dyDescent="0.3">
      <c r="B299">
        <v>48627</v>
      </c>
      <c r="C299">
        <v>2017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1</v>
      </c>
      <c r="AE299">
        <v>1</v>
      </c>
      <c r="AF299">
        <f>SUM(q2_raw[[#This Row],[1]:[28]])</f>
        <v>7</v>
      </c>
    </row>
    <row r="300" spans="2:32" x14ac:dyDescent="0.3">
      <c r="B300">
        <v>70498</v>
      </c>
      <c r="C300">
        <v>2017</v>
      </c>
      <c r="D300">
        <v>1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f>SUM(q2_raw[[#This Row],[1]:[28]])</f>
        <v>9</v>
      </c>
    </row>
    <row r="301" spans="2:32" x14ac:dyDescent="0.3">
      <c r="B301">
        <v>88241</v>
      </c>
      <c r="C301">
        <v>2017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f>SUM(q2_raw[[#This Row],[1]:[28]])</f>
        <v>6</v>
      </c>
    </row>
    <row r="302" spans="2:32" x14ac:dyDescent="0.3">
      <c r="B302">
        <v>99565</v>
      </c>
      <c r="C302">
        <v>2017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1</v>
      </c>
      <c r="Y302">
        <v>0</v>
      </c>
      <c r="Z302">
        <v>1</v>
      </c>
      <c r="AA302">
        <v>0</v>
      </c>
      <c r="AB302">
        <v>1</v>
      </c>
      <c r="AC302">
        <v>1</v>
      </c>
      <c r="AD302">
        <v>1</v>
      </c>
      <c r="AE302">
        <v>1</v>
      </c>
      <c r="AF302">
        <f>SUM(q2_raw[[#This Row],[1]:[28]])</f>
        <v>11</v>
      </c>
    </row>
    <row r="303" spans="2:32" x14ac:dyDescent="0.3">
      <c r="B303">
        <v>49424</v>
      </c>
      <c r="C303">
        <v>2017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1</v>
      </c>
      <c r="AD303">
        <v>1</v>
      </c>
      <c r="AE303">
        <v>0</v>
      </c>
      <c r="AF303">
        <f>SUM(q2_raw[[#This Row],[1]:[28]])</f>
        <v>5</v>
      </c>
    </row>
    <row r="304" spans="2:32" x14ac:dyDescent="0.3">
      <c r="B304">
        <v>52817</v>
      </c>
      <c r="C304">
        <v>2017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1</v>
      </c>
      <c r="AB304">
        <v>1</v>
      </c>
      <c r="AC304">
        <v>0</v>
      </c>
      <c r="AD304">
        <v>1</v>
      </c>
      <c r="AE304">
        <v>0</v>
      </c>
      <c r="AF304">
        <f>SUM(q2_raw[[#This Row],[1]:[28]])</f>
        <v>7</v>
      </c>
    </row>
    <row r="305" spans="2:32" x14ac:dyDescent="0.3">
      <c r="B305">
        <v>77204</v>
      </c>
      <c r="C305">
        <v>2017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1</v>
      </c>
      <c r="AB305">
        <v>1</v>
      </c>
      <c r="AC305">
        <v>0</v>
      </c>
      <c r="AD305">
        <v>0</v>
      </c>
      <c r="AE305">
        <v>0</v>
      </c>
      <c r="AF305">
        <f>SUM(q2_raw[[#This Row],[1]:[28]])</f>
        <v>9</v>
      </c>
    </row>
    <row r="306" spans="2:32" x14ac:dyDescent="0.3">
      <c r="B306">
        <v>41976</v>
      </c>
      <c r="C306">
        <v>2017</v>
      </c>
      <c r="D306">
        <v>0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1</v>
      </c>
      <c r="AD306">
        <v>0</v>
      </c>
      <c r="AE306">
        <v>0</v>
      </c>
      <c r="AF306">
        <f>SUM(q2_raw[[#This Row],[1]:[28]])</f>
        <v>9</v>
      </c>
    </row>
    <row r="307" spans="2:32" x14ac:dyDescent="0.3">
      <c r="B307">
        <v>72778</v>
      </c>
      <c r="C307">
        <v>2017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1</v>
      </c>
      <c r="AD307">
        <v>0</v>
      </c>
      <c r="AE307">
        <v>0</v>
      </c>
      <c r="AF307">
        <f>SUM(q2_raw[[#This Row],[1]:[28]])</f>
        <v>9</v>
      </c>
    </row>
    <row r="308" spans="2:32" x14ac:dyDescent="0.3">
      <c r="B308">
        <v>9027</v>
      </c>
      <c r="C308">
        <v>2017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f>SUM(q2_raw[[#This Row],[1]:[28]])</f>
        <v>9</v>
      </c>
    </row>
    <row r="309" spans="2:32" x14ac:dyDescent="0.3">
      <c r="B309">
        <v>13928</v>
      </c>
      <c r="C309">
        <v>2017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1</v>
      </c>
      <c r="AE309">
        <v>0</v>
      </c>
      <c r="AF309">
        <f>SUM(q2_raw[[#This Row],[1]:[28]])</f>
        <v>6</v>
      </c>
    </row>
    <row r="310" spans="2:32" x14ac:dyDescent="0.3">
      <c r="B310">
        <v>70949</v>
      </c>
      <c r="C310">
        <v>2017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1</v>
      </c>
      <c r="AB310">
        <v>0</v>
      </c>
      <c r="AC310">
        <v>0</v>
      </c>
      <c r="AD310">
        <v>1</v>
      </c>
      <c r="AE310">
        <v>0</v>
      </c>
      <c r="AF310">
        <f>SUM(q2_raw[[#This Row],[1]:[28]])</f>
        <v>5</v>
      </c>
    </row>
    <row r="311" spans="2:32" x14ac:dyDescent="0.3">
      <c r="B311">
        <v>17982</v>
      </c>
      <c r="C311">
        <v>2017</v>
      </c>
      <c r="D311">
        <v>0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f>SUM(q2_raw[[#This Row],[1]:[28]])</f>
        <v>9</v>
      </c>
    </row>
    <row r="312" spans="2:32" x14ac:dyDescent="0.3">
      <c r="B312">
        <v>3042</v>
      </c>
      <c r="C312">
        <v>2017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1</v>
      </c>
      <c r="AC312">
        <v>0</v>
      </c>
      <c r="AD312">
        <v>0</v>
      </c>
      <c r="AE312">
        <v>0</v>
      </c>
      <c r="AF312">
        <f>SUM(q2_raw[[#This Row],[1]:[28]])</f>
        <v>6</v>
      </c>
    </row>
    <row r="313" spans="2:32" x14ac:dyDescent="0.3">
      <c r="B313">
        <v>53770</v>
      </c>
      <c r="C313">
        <v>2017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1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f>SUM(q2_raw[[#This Row],[1]:[28]])</f>
        <v>7</v>
      </c>
    </row>
    <row r="314" spans="2:32" x14ac:dyDescent="0.3">
      <c r="B314">
        <v>30744</v>
      </c>
      <c r="C314">
        <v>2017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1</v>
      </c>
      <c r="O314">
        <v>1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1</v>
      </c>
      <c r="AC314">
        <v>0</v>
      </c>
      <c r="AD314">
        <v>0</v>
      </c>
      <c r="AE314">
        <v>1</v>
      </c>
      <c r="AF314">
        <f>SUM(q2_raw[[#This Row],[1]:[28]])</f>
        <v>12</v>
      </c>
    </row>
    <row r="315" spans="2:32" x14ac:dyDescent="0.3">
      <c r="B315">
        <v>38665</v>
      </c>
      <c r="C315">
        <v>2017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1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f>SUM(q2_raw[[#This Row],[1]:[28]])</f>
        <v>10</v>
      </c>
    </row>
    <row r="316" spans="2:32" x14ac:dyDescent="0.3">
      <c r="B316">
        <v>31107</v>
      </c>
      <c r="C316">
        <v>2017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1</v>
      </c>
      <c r="N316">
        <v>0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f>SUM(q2_raw[[#This Row],[1]:[28]])</f>
        <v>7</v>
      </c>
    </row>
    <row r="317" spans="2:32" x14ac:dyDescent="0.3">
      <c r="B317">
        <v>35556</v>
      </c>
      <c r="C317">
        <v>2017</v>
      </c>
      <c r="D317">
        <v>0</v>
      </c>
      <c r="E317">
        <v>1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1</v>
      </c>
      <c r="M317">
        <v>1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f>SUM(q2_raw[[#This Row],[1]:[28]])</f>
        <v>11</v>
      </c>
    </row>
    <row r="318" spans="2:32" x14ac:dyDescent="0.3">
      <c r="B318">
        <v>36168</v>
      </c>
      <c r="C318">
        <v>2017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f>SUM(q2_raw[[#This Row],[1]:[28]])</f>
        <v>5</v>
      </c>
    </row>
    <row r="319" spans="2:32" x14ac:dyDescent="0.3">
      <c r="B319">
        <v>85388</v>
      </c>
      <c r="C319">
        <v>2017</v>
      </c>
      <c r="D319">
        <v>1</v>
      </c>
      <c r="E319">
        <v>0</v>
      </c>
      <c r="F319">
        <v>0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</v>
      </c>
      <c r="U319">
        <v>1</v>
      </c>
      <c r="V319">
        <v>1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f>SUM(q2_raw[[#This Row],[1]:[28]])</f>
        <v>9</v>
      </c>
    </row>
    <row r="320" spans="2:32" x14ac:dyDescent="0.3">
      <c r="B320">
        <v>32657</v>
      </c>
      <c r="C320">
        <v>2017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1</v>
      </c>
      <c r="AE320">
        <v>1</v>
      </c>
      <c r="AF320">
        <f>SUM(q2_raw[[#This Row],[1]:[28]])</f>
        <v>13</v>
      </c>
    </row>
    <row r="321" spans="2:32" x14ac:dyDescent="0.3">
      <c r="B321">
        <v>13595</v>
      </c>
      <c r="C321">
        <v>2017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1</v>
      </c>
      <c r="N321">
        <v>1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1</v>
      </c>
      <c r="AF321">
        <f>SUM(q2_raw[[#This Row],[1]:[28]])</f>
        <v>11</v>
      </c>
    </row>
    <row r="322" spans="2:32" x14ac:dyDescent="0.3">
      <c r="B322">
        <v>82801</v>
      </c>
      <c r="C322">
        <v>2017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1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1</v>
      </c>
      <c r="Y322">
        <v>1</v>
      </c>
      <c r="Z322">
        <v>0</v>
      </c>
      <c r="AA322">
        <v>0</v>
      </c>
      <c r="AB322">
        <v>1</v>
      </c>
      <c r="AC322">
        <v>0</v>
      </c>
      <c r="AD322">
        <v>1</v>
      </c>
      <c r="AE322">
        <v>1</v>
      </c>
      <c r="AF322">
        <f>SUM(q2_raw[[#This Row],[1]:[28]])</f>
        <v>14</v>
      </c>
    </row>
    <row r="323" spans="2:32" x14ac:dyDescent="0.3">
      <c r="B323">
        <v>3066</v>
      </c>
      <c r="C323">
        <v>2017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1</v>
      </c>
      <c r="AA323">
        <v>0</v>
      </c>
      <c r="AB323">
        <v>1</v>
      </c>
      <c r="AC323">
        <v>1</v>
      </c>
      <c r="AD323">
        <v>0</v>
      </c>
      <c r="AE323">
        <v>0</v>
      </c>
      <c r="AF323">
        <f>SUM(q2_raw[[#This Row],[1]:[28]])</f>
        <v>10</v>
      </c>
    </row>
    <row r="324" spans="2:32" x14ac:dyDescent="0.3">
      <c r="B324">
        <v>3238</v>
      </c>
      <c r="C324">
        <v>2017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1</v>
      </c>
      <c r="AA324">
        <v>1</v>
      </c>
      <c r="AB324">
        <v>0</v>
      </c>
      <c r="AC324">
        <v>1</v>
      </c>
      <c r="AD324">
        <v>0</v>
      </c>
      <c r="AE324">
        <v>0</v>
      </c>
      <c r="AF324">
        <f>SUM(q2_raw[[#This Row],[1]:[28]])</f>
        <v>8</v>
      </c>
    </row>
    <row r="325" spans="2:32" x14ac:dyDescent="0.3">
      <c r="B325">
        <v>75073</v>
      </c>
      <c r="C325">
        <v>2017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1</v>
      </c>
      <c r="J325">
        <v>1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f>SUM(q2_raw[[#This Row],[1]:[28]])</f>
        <v>8</v>
      </c>
    </row>
    <row r="326" spans="2:32" x14ac:dyDescent="0.3">
      <c r="B326">
        <v>74526</v>
      </c>
      <c r="C326">
        <v>2017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f>SUM(q2_raw[[#This Row],[1]:[28]])</f>
        <v>6</v>
      </c>
    </row>
    <row r="327" spans="2:32" x14ac:dyDescent="0.3">
      <c r="B327">
        <v>34742</v>
      </c>
      <c r="C327">
        <v>2017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1</v>
      </c>
      <c r="AE327">
        <v>1</v>
      </c>
      <c r="AF327">
        <f>SUM(q2_raw[[#This Row],[1]:[28]])</f>
        <v>6</v>
      </c>
    </row>
    <row r="328" spans="2:32" x14ac:dyDescent="0.3">
      <c r="B328">
        <v>82221</v>
      </c>
      <c r="C328">
        <v>2017</v>
      </c>
      <c r="D328">
        <v>0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  <c r="AE328">
        <v>0</v>
      </c>
      <c r="AF328">
        <f>SUM(q2_raw[[#This Row],[1]:[28]])</f>
        <v>6</v>
      </c>
    </row>
    <row r="329" spans="2:32" x14ac:dyDescent="0.3">
      <c r="B329">
        <v>55675</v>
      </c>
      <c r="C329">
        <v>2017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1</v>
      </c>
      <c r="AD329">
        <v>0</v>
      </c>
      <c r="AE329">
        <v>0</v>
      </c>
      <c r="AF329">
        <f>SUM(q2_raw[[#This Row],[1]:[28]])</f>
        <v>8</v>
      </c>
    </row>
    <row r="330" spans="2:32" hidden="1" x14ac:dyDescent="0.3">
      <c r="B330">
        <v>82834</v>
      </c>
      <c r="C330">
        <v>2018</v>
      </c>
      <c r="D330">
        <v>1</v>
      </c>
      <c r="E330">
        <v>1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1</v>
      </c>
      <c r="R330">
        <v>1</v>
      </c>
      <c r="S330">
        <v>0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1</v>
      </c>
      <c r="AB330">
        <v>0</v>
      </c>
      <c r="AC330">
        <v>1</v>
      </c>
      <c r="AD330">
        <v>0</v>
      </c>
      <c r="AE330">
        <v>1</v>
      </c>
      <c r="AF330">
        <f>SUM(q2_raw[[#This Row],[1]:[28]])</f>
        <v>17</v>
      </c>
    </row>
    <row r="331" spans="2:32" hidden="1" x14ac:dyDescent="0.3">
      <c r="B331">
        <v>10507</v>
      </c>
      <c r="C331">
        <v>2018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1</v>
      </c>
      <c r="AE331">
        <v>0</v>
      </c>
      <c r="AF331">
        <f>SUM(q2_raw[[#This Row],[1]:[28]])</f>
        <v>12</v>
      </c>
    </row>
    <row r="332" spans="2:32" hidden="1" x14ac:dyDescent="0.3">
      <c r="B332">
        <v>29188</v>
      </c>
      <c r="C332">
        <v>2018</v>
      </c>
      <c r="D332">
        <v>0</v>
      </c>
      <c r="E332">
        <v>0</v>
      </c>
      <c r="F332">
        <v>1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1</v>
      </c>
      <c r="AB332">
        <v>0</v>
      </c>
      <c r="AC332">
        <v>1</v>
      </c>
      <c r="AD332">
        <v>0</v>
      </c>
      <c r="AE332">
        <v>0</v>
      </c>
      <c r="AF332">
        <f>SUM(q2_raw[[#This Row],[1]:[28]])</f>
        <v>9</v>
      </c>
    </row>
    <row r="333" spans="2:32" hidden="1" x14ac:dyDescent="0.3">
      <c r="B333">
        <v>51721</v>
      </c>
      <c r="C333">
        <v>2018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1</v>
      </c>
      <c r="J333">
        <v>1</v>
      </c>
      <c r="K333">
        <v>0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f>SUM(q2_raw[[#This Row],[1]:[28]])</f>
        <v>8</v>
      </c>
    </row>
    <row r="334" spans="2:32" hidden="1" x14ac:dyDescent="0.3">
      <c r="B334">
        <v>45423</v>
      </c>
      <c r="C334">
        <v>2018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1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1</v>
      </c>
      <c r="Z334">
        <v>0</v>
      </c>
      <c r="AA334">
        <v>0</v>
      </c>
      <c r="AB334">
        <v>1</v>
      </c>
      <c r="AC334">
        <v>1</v>
      </c>
      <c r="AD334">
        <v>1</v>
      </c>
      <c r="AE334">
        <v>0</v>
      </c>
      <c r="AF334">
        <f>SUM(q2_raw[[#This Row],[1]:[28]])</f>
        <v>12</v>
      </c>
    </row>
    <row r="335" spans="2:32" hidden="1" x14ac:dyDescent="0.3">
      <c r="B335">
        <v>536</v>
      </c>
      <c r="C335">
        <v>2018</v>
      </c>
      <c r="D335">
        <v>1</v>
      </c>
      <c r="E335">
        <v>1</v>
      </c>
      <c r="F335">
        <v>1</v>
      </c>
      <c r="G335">
        <v>1</v>
      </c>
      <c r="H335">
        <v>0</v>
      </c>
      <c r="I335">
        <v>0</v>
      </c>
      <c r="J335">
        <v>1</v>
      </c>
      <c r="K335">
        <v>1</v>
      </c>
      <c r="L335">
        <v>0</v>
      </c>
      <c r="M335">
        <v>1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1</v>
      </c>
      <c r="Y335">
        <v>0</v>
      </c>
      <c r="Z335">
        <v>0</v>
      </c>
      <c r="AA335">
        <v>1</v>
      </c>
      <c r="AB335">
        <v>0</v>
      </c>
      <c r="AC335">
        <v>1</v>
      </c>
      <c r="AD335">
        <v>0</v>
      </c>
      <c r="AE335">
        <v>1</v>
      </c>
      <c r="AF335">
        <f>SUM(q2_raw[[#This Row],[1]:[28]])</f>
        <v>15</v>
      </c>
    </row>
    <row r="336" spans="2:32" hidden="1" x14ac:dyDescent="0.3">
      <c r="B336">
        <v>56511</v>
      </c>
      <c r="C336">
        <v>2018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f>SUM(q2_raw[[#This Row],[1]:[28]])</f>
        <v>9</v>
      </c>
    </row>
    <row r="337" spans="2:32" hidden="1" x14ac:dyDescent="0.3">
      <c r="B337">
        <v>40051</v>
      </c>
      <c r="C337">
        <v>2018</v>
      </c>
      <c r="D337">
        <v>1</v>
      </c>
      <c r="E337">
        <v>0</v>
      </c>
      <c r="F337">
        <v>1</v>
      </c>
      <c r="G337">
        <v>0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1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f>SUM(q2_raw[[#This Row],[1]:[28]])</f>
        <v>9</v>
      </c>
    </row>
    <row r="338" spans="2:32" hidden="1" x14ac:dyDescent="0.3">
      <c r="B338">
        <v>92973</v>
      </c>
      <c r="C338">
        <v>2018</v>
      </c>
      <c r="D338">
        <v>0</v>
      </c>
      <c r="E338">
        <v>1</v>
      </c>
      <c r="F338">
        <v>1</v>
      </c>
      <c r="G338">
        <v>1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f>SUM(q2_raw[[#This Row],[1]:[28]])</f>
        <v>12</v>
      </c>
    </row>
    <row r="339" spans="2:32" hidden="1" x14ac:dyDescent="0.3">
      <c r="B339">
        <v>87762</v>
      </c>
      <c r="C339">
        <v>2018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0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0</v>
      </c>
      <c r="S339">
        <v>1</v>
      </c>
      <c r="T339">
        <v>0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0</v>
      </c>
      <c r="AF339">
        <f>SUM(q2_raw[[#This Row],[1]:[28]])</f>
        <v>14</v>
      </c>
    </row>
    <row r="340" spans="2:32" hidden="1" x14ac:dyDescent="0.3">
      <c r="B340">
        <v>26912</v>
      </c>
      <c r="C340">
        <v>2018</v>
      </c>
      <c r="D340">
        <v>1</v>
      </c>
      <c r="E340">
        <v>0</v>
      </c>
      <c r="F340">
        <v>1</v>
      </c>
      <c r="G340">
        <v>1</v>
      </c>
      <c r="H340">
        <v>1</v>
      </c>
      <c r="I340">
        <v>0</v>
      </c>
      <c r="J340">
        <v>1</v>
      </c>
      <c r="K340">
        <v>0</v>
      </c>
      <c r="L340">
        <v>1</v>
      </c>
      <c r="M340">
        <v>1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1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0</v>
      </c>
      <c r="AE340">
        <v>1</v>
      </c>
      <c r="AF340">
        <f>SUM(q2_raw[[#This Row],[1]:[28]])</f>
        <v>17</v>
      </c>
    </row>
    <row r="341" spans="2:32" hidden="1" x14ac:dyDescent="0.3">
      <c r="B341">
        <v>76619</v>
      </c>
      <c r="C341">
        <v>2018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1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1</v>
      </c>
      <c r="AE341">
        <v>0</v>
      </c>
      <c r="AF341">
        <f>SUM(q2_raw[[#This Row],[1]:[28]])</f>
        <v>10</v>
      </c>
    </row>
    <row r="342" spans="2:32" hidden="1" x14ac:dyDescent="0.3">
      <c r="B342">
        <v>15153</v>
      </c>
      <c r="C342">
        <v>2018</v>
      </c>
      <c r="D342">
        <v>0</v>
      </c>
      <c r="E342">
        <v>0</v>
      </c>
      <c r="F342">
        <v>0</v>
      </c>
      <c r="G342">
        <v>1</v>
      </c>
      <c r="H342">
        <v>1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0</v>
      </c>
      <c r="AF342">
        <f>SUM(q2_raw[[#This Row],[1]:[28]])</f>
        <v>12</v>
      </c>
    </row>
    <row r="343" spans="2:32" hidden="1" x14ac:dyDescent="0.3">
      <c r="B343">
        <v>92477</v>
      </c>
      <c r="C343">
        <v>2018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0</v>
      </c>
      <c r="P343">
        <v>1</v>
      </c>
      <c r="Q343">
        <v>1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1</v>
      </c>
      <c r="X343">
        <v>1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1</v>
      </c>
      <c r="AE343">
        <v>0</v>
      </c>
      <c r="AF343">
        <f>SUM(q2_raw[[#This Row],[1]:[28]])</f>
        <v>13</v>
      </c>
    </row>
    <row r="344" spans="2:32" hidden="1" x14ac:dyDescent="0.3">
      <c r="B344">
        <v>66612</v>
      </c>
      <c r="C344">
        <v>2018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1</v>
      </c>
      <c r="U344">
        <v>1</v>
      </c>
      <c r="V344">
        <v>1</v>
      </c>
      <c r="W344">
        <v>0</v>
      </c>
      <c r="X344">
        <v>1</v>
      </c>
      <c r="Y344">
        <v>0</v>
      </c>
      <c r="Z344">
        <v>0</v>
      </c>
      <c r="AA344">
        <v>1</v>
      </c>
      <c r="AB344">
        <v>1</v>
      </c>
      <c r="AC344">
        <v>1</v>
      </c>
      <c r="AD344">
        <v>0</v>
      </c>
      <c r="AE344">
        <v>0</v>
      </c>
      <c r="AF344">
        <f>SUM(q2_raw[[#This Row],[1]:[28]])</f>
        <v>11</v>
      </c>
    </row>
    <row r="345" spans="2:32" hidden="1" x14ac:dyDescent="0.3">
      <c r="B345">
        <v>1551</v>
      </c>
      <c r="C345">
        <v>2018</v>
      </c>
      <c r="D345">
        <v>0</v>
      </c>
      <c r="E345">
        <v>1</v>
      </c>
      <c r="F345">
        <v>0</v>
      </c>
      <c r="G345">
        <v>0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1</v>
      </c>
      <c r="U345">
        <v>1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1</v>
      </c>
      <c r="AB345">
        <v>0</v>
      </c>
      <c r="AC345">
        <v>1</v>
      </c>
      <c r="AD345">
        <v>0</v>
      </c>
      <c r="AE345">
        <v>1</v>
      </c>
      <c r="AF345">
        <f>SUM(q2_raw[[#This Row],[1]:[28]])</f>
        <v>16</v>
      </c>
    </row>
    <row r="346" spans="2:32" hidden="1" x14ac:dyDescent="0.3">
      <c r="B346">
        <v>51065</v>
      </c>
      <c r="C346">
        <v>2018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0</v>
      </c>
      <c r="AD346">
        <v>0</v>
      </c>
      <c r="AE346">
        <v>1</v>
      </c>
      <c r="AF346">
        <f>SUM(q2_raw[[#This Row],[1]:[28]])</f>
        <v>13</v>
      </c>
    </row>
    <row r="347" spans="2:32" hidden="1" x14ac:dyDescent="0.3">
      <c r="B347">
        <v>43999</v>
      </c>
      <c r="C347">
        <v>2018</v>
      </c>
      <c r="D347">
        <v>0</v>
      </c>
      <c r="E347">
        <v>1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1</v>
      </c>
      <c r="AC347">
        <v>0</v>
      </c>
      <c r="AD347">
        <v>0</v>
      </c>
      <c r="AE347">
        <v>0</v>
      </c>
      <c r="AF347">
        <f>SUM(q2_raw[[#This Row],[1]:[28]])</f>
        <v>8</v>
      </c>
    </row>
    <row r="348" spans="2:32" hidden="1" x14ac:dyDescent="0.3">
      <c r="B348">
        <v>30518</v>
      </c>
      <c r="C348">
        <v>2018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f>SUM(q2_raw[[#This Row],[1]:[28]])</f>
        <v>9</v>
      </c>
    </row>
    <row r="349" spans="2:32" hidden="1" x14ac:dyDescent="0.3">
      <c r="B349">
        <v>81652</v>
      </c>
      <c r="C349">
        <v>2018</v>
      </c>
      <c r="D349">
        <v>0</v>
      </c>
      <c r="E349">
        <v>0</v>
      </c>
      <c r="F349">
        <v>1</v>
      </c>
      <c r="G349">
        <v>1</v>
      </c>
      <c r="H349">
        <v>1</v>
      </c>
      <c r="I349">
        <v>0</v>
      </c>
      <c r="J349">
        <v>1</v>
      </c>
      <c r="K349">
        <v>0</v>
      </c>
      <c r="L349">
        <v>1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f>SUM(q2_raw[[#This Row],[1]:[28]])</f>
        <v>11</v>
      </c>
    </row>
    <row r="350" spans="2:32" hidden="1" x14ac:dyDescent="0.3">
      <c r="B350">
        <v>97562</v>
      </c>
      <c r="C350">
        <v>2018</v>
      </c>
      <c r="D350">
        <v>1</v>
      </c>
      <c r="E350">
        <v>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1</v>
      </c>
      <c r="S350">
        <v>0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1</v>
      </c>
      <c r="AD350">
        <v>1</v>
      </c>
      <c r="AE350">
        <v>1</v>
      </c>
      <c r="AF350">
        <f>SUM(q2_raw[[#This Row],[1]:[28]])</f>
        <v>13</v>
      </c>
    </row>
    <row r="351" spans="2:32" hidden="1" x14ac:dyDescent="0.3">
      <c r="B351">
        <v>54044</v>
      </c>
      <c r="C351">
        <v>2018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1</v>
      </c>
      <c r="AA351">
        <v>0</v>
      </c>
      <c r="AB351">
        <v>1</v>
      </c>
      <c r="AC351">
        <v>1</v>
      </c>
      <c r="AD351">
        <v>1</v>
      </c>
      <c r="AE351">
        <v>0</v>
      </c>
      <c r="AF351">
        <f>SUM(q2_raw[[#This Row],[1]:[28]])</f>
        <v>14</v>
      </c>
    </row>
    <row r="352" spans="2:32" hidden="1" x14ac:dyDescent="0.3">
      <c r="B352">
        <v>20182</v>
      </c>
      <c r="C352">
        <v>2018</v>
      </c>
      <c r="D352">
        <v>0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1</v>
      </c>
      <c r="W352">
        <v>1</v>
      </c>
      <c r="X352">
        <v>0</v>
      </c>
      <c r="Y352">
        <v>1</v>
      </c>
      <c r="Z352">
        <v>0</v>
      </c>
      <c r="AA352">
        <v>1</v>
      </c>
      <c r="AB352">
        <v>1</v>
      </c>
      <c r="AC352">
        <v>0</v>
      </c>
      <c r="AD352">
        <v>1</v>
      </c>
      <c r="AE352">
        <v>0</v>
      </c>
      <c r="AF352">
        <f>SUM(q2_raw[[#This Row],[1]:[28]])</f>
        <v>17</v>
      </c>
    </row>
    <row r="353" spans="2:32" hidden="1" x14ac:dyDescent="0.3">
      <c r="B353">
        <v>50012</v>
      </c>
      <c r="C353">
        <v>2018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1</v>
      </c>
      <c r="O353">
        <v>0</v>
      </c>
      <c r="P353">
        <v>1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1</v>
      </c>
      <c r="AB353">
        <v>1</v>
      </c>
      <c r="AC353">
        <v>1</v>
      </c>
      <c r="AD353">
        <v>1</v>
      </c>
      <c r="AE353">
        <v>0</v>
      </c>
      <c r="AF353">
        <f>SUM(q2_raw[[#This Row],[1]:[28]])</f>
        <v>16</v>
      </c>
    </row>
    <row r="354" spans="2:32" hidden="1" x14ac:dyDescent="0.3">
      <c r="B354">
        <v>92724</v>
      </c>
      <c r="C354">
        <v>2018</v>
      </c>
      <c r="D354">
        <v>1</v>
      </c>
      <c r="E354">
        <v>1</v>
      </c>
      <c r="F354">
        <v>0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0</v>
      </c>
      <c r="M354">
        <v>1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1</v>
      </c>
      <c r="Y354">
        <v>1</v>
      </c>
      <c r="Z354">
        <v>0</v>
      </c>
      <c r="AA354">
        <v>1</v>
      </c>
      <c r="AB354">
        <v>1</v>
      </c>
      <c r="AC354">
        <v>0</v>
      </c>
      <c r="AD354">
        <v>1</v>
      </c>
      <c r="AE354">
        <v>1</v>
      </c>
      <c r="AF354">
        <f>SUM(q2_raw[[#This Row],[1]:[28]])</f>
        <v>17</v>
      </c>
    </row>
    <row r="355" spans="2:32" hidden="1" x14ac:dyDescent="0.3">
      <c r="B355">
        <v>52463</v>
      </c>
      <c r="C355">
        <v>2018</v>
      </c>
      <c r="D355">
        <v>0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1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1</v>
      </c>
      <c r="AD355">
        <v>1</v>
      </c>
      <c r="AE355">
        <v>1</v>
      </c>
      <c r="AF355">
        <f>SUM(q2_raw[[#This Row],[1]:[28]])</f>
        <v>12</v>
      </c>
    </row>
    <row r="356" spans="2:32" hidden="1" x14ac:dyDescent="0.3">
      <c r="B356">
        <v>5249</v>
      </c>
      <c r="C356">
        <v>2018</v>
      </c>
      <c r="D356">
        <v>1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1</v>
      </c>
      <c r="Z356">
        <v>1</v>
      </c>
      <c r="AA356">
        <v>0</v>
      </c>
      <c r="AB356">
        <v>1</v>
      </c>
      <c r="AC356">
        <v>1</v>
      </c>
      <c r="AD356">
        <v>0</v>
      </c>
      <c r="AE356">
        <v>0</v>
      </c>
      <c r="AF356">
        <f>SUM(q2_raw[[#This Row],[1]:[28]])</f>
        <v>12</v>
      </c>
    </row>
    <row r="357" spans="2:32" hidden="1" x14ac:dyDescent="0.3">
      <c r="B357">
        <v>69997</v>
      </c>
      <c r="C357">
        <v>2018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1</v>
      </c>
      <c r="Q357">
        <v>0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f>SUM(q2_raw[[#This Row],[1]:[28]])</f>
        <v>7</v>
      </c>
    </row>
    <row r="358" spans="2:32" hidden="1" x14ac:dyDescent="0.3">
      <c r="B358">
        <v>48818</v>
      </c>
      <c r="C358">
        <v>2018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1</v>
      </c>
      <c r="AA358">
        <v>1</v>
      </c>
      <c r="AB358">
        <v>0</v>
      </c>
      <c r="AC358">
        <v>0</v>
      </c>
      <c r="AD358">
        <v>1</v>
      </c>
      <c r="AE358">
        <v>0</v>
      </c>
      <c r="AF358">
        <f>SUM(q2_raw[[#This Row],[1]:[28]])</f>
        <v>14</v>
      </c>
    </row>
    <row r="359" spans="2:32" hidden="1" x14ac:dyDescent="0.3">
      <c r="B359">
        <v>37846</v>
      </c>
      <c r="C359">
        <v>2018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1</v>
      </c>
      <c r="AA359">
        <v>1</v>
      </c>
      <c r="AB359">
        <v>1</v>
      </c>
      <c r="AC359">
        <v>1</v>
      </c>
      <c r="AD359">
        <v>0</v>
      </c>
      <c r="AE359">
        <v>1</v>
      </c>
      <c r="AF359">
        <f>SUM(q2_raw[[#This Row],[1]:[28]])</f>
        <v>10</v>
      </c>
    </row>
    <row r="360" spans="2:32" hidden="1" x14ac:dyDescent="0.3">
      <c r="B360">
        <v>37764</v>
      </c>
      <c r="C360">
        <v>2018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1</v>
      </c>
      <c r="M360">
        <v>0</v>
      </c>
      <c r="N360">
        <v>1</v>
      </c>
      <c r="O360">
        <v>1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1</v>
      </c>
      <c r="Z360">
        <v>0</v>
      </c>
      <c r="AA360">
        <v>1</v>
      </c>
      <c r="AB360">
        <v>0</v>
      </c>
      <c r="AC360">
        <v>0</v>
      </c>
      <c r="AD360">
        <v>1</v>
      </c>
      <c r="AE360">
        <v>1</v>
      </c>
      <c r="AF360">
        <f>SUM(q2_raw[[#This Row],[1]:[28]])</f>
        <v>16</v>
      </c>
    </row>
    <row r="361" spans="2:32" hidden="1" x14ac:dyDescent="0.3">
      <c r="B361">
        <v>91202</v>
      </c>
      <c r="C361">
        <v>2018</v>
      </c>
      <c r="D361">
        <v>1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1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1</v>
      </c>
      <c r="X361">
        <v>1</v>
      </c>
      <c r="Y361">
        <v>1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f>SUM(q2_raw[[#This Row],[1]:[28]])</f>
        <v>12</v>
      </c>
    </row>
    <row r="362" spans="2:32" hidden="1" x14ac:dyDescent="0.3">
      <c r="B362">
        <v>51446</v>
      </c>
      <c r="C362">
        <v>2018</v>
      </c>
      <c r="D362">
        <v>0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1</v>
      </c>
      <c r="W362">
        <v>1</v>
      </c>
      <c r="X362">
        <v>0</v>
      </c>
      <c r="Y362">
        <v>1</v>
      </c>
      <c r="Z362">
        <v>0</v>
      </c>
      <c r="AA362">
        <v>1</v>
      </c>
      <c r="AB362">
        <v>0</v>
      </c>
      <c r="AC362">
        <v>1</v>
      </c>
      <c r="AD362">
        <v>1</v>
      </c>
      <c r="AE362">
        <v>1</v>
      </c>
      <c r="AF362">
        <f>SUM(q2_raw[[#This Row],[1]:[28]])</f>
        <v>14</v>
      </c>
    </row>
    <row r="363" spans="2:32" hidden="1" x14ac:dyDescent="0.3">
      <c r="B363">
        <v>56275</v>
      </c>
      <c r="C363">
        <v>2018</v>
      </c>
      <c r="D363">
        <v>1</v>
      </c>
      <c r="E363">
        <v>1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1</v>
      </c>
      <c r="AF363">
        <f>SUM(q2_raw[[#This Row],[1]:[28]])</f>
        <v>11</v>
      </c>
    </row>
    <row r="364" spans="2:32" hidden="1" x14ac:dyDescent="0.3">
      <c r="B364">
        <v>50939</v>
      </c>
      <c r="C364">
        <v>2018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1</v>
      </c>
      <c r="U364">
        <v>1</v>
      </c>
      <c r="V364">
        <v>0</v>
      </c>
      <c r="W364">
        <v>0</v>
      </c>
      <c r="X364">
        <v>1</v>
      </c>
      <c r="Y364">
        <v>1</v>
      </c>
      <c r="Z364">
        <v>0</v>
      </c>
      <c r="AA364">
        <v>1</v>
      </c>
      <c r="AB364">
        <v>0</v>
      </c>
      <c r="AC364">
        <v>0</v>
      </c>
      <c r="AD364">
        <v>1</v>
      </c>
      <c r="AE364">
        <v>1</v>
      </c>
      <c r="AF364">
        <f>SUM(q2_raw[[#This Row],[1]:[28]])</f>
        <v>11</v>
      </c>
    </row>
    <row r="365" spans="2:32" hidden="1" x14ac:dyDescent="0.3">
      <c r="B365">
        <v>607</v>
      </c>
      <c r="C365">
        <v>2018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0</v>
      </c>
      <c r="AE365">
        <v>1</v>
      </c>
      <c r="AF365">
        <f>SUM(q2_raw[[#This Row],[1]:[28]])</f>
        <v>7</v>
      </c>
    </row>
    <row r="366" spans="2:32" hidden="1" x14ac:dyDescent="0.3">
      <c r="B366">
        <v>76247</v>
      </c>
      <c r="C366">
        <v>2018</v>
      </c>
      <c r="D366">
        <v>0</v>
      </c>
      <c r="E366">
        <v>1</v>
      </c>
      <c r="F366">
        <v>1</v>
      </c>
      <c r="G366">
        <v>0</v>
      </c>
      <c r="H366">
        <v>1</v>
      </c>
      <c r="I366">
        <v>0</v>
      </c>
      <c r="J366">
        <v>1</v>
      </c>
      <c r="K366">
        <v>0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1</v>
      </c>
      <c r="AA366">
        <v>1</v>
      </c>
      <c r="AB366">
        <v>1</v>
      </c>
      <c r="AC366">
        <v>0</v>
      </c>
      <c r="AD366">
        <v>1</v>
      </c>
      <c r="AE366">
        <v>0</v>
      </c>
      <c r="AF366">
        <f>SUM(q2_raw[[#This Row],[1]:[28]])</f>
        <v>14</v>
      </c>
    </row>
    <row r="367" spans="2:32" hidden="1" x14ac:dyDescent="0.3">
      <c r="B367">
        <v>28414</v>
      </c>
      <c r="C367">
        <v>2018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1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1</v>
      </c>
      <c r="AB367">
        <v>0</v>
      </c>
      <c r="AC367">
        <v>1</v>
      </c>
      <c r="AD367">
        <v>1</v>
      </c>
      <c r="AE367">
        <v>1</v>
      </c>
      <c r="AF367">
        <f>SUM(q2_raw[[#This Row],[1]:[28]])</f>
        <v>12</v>
      </c>
    </row>
    <row r="368" spans="2:32" hidden="1" x14ac:dyDescent="0.3">
      <c r="B368">
        <v>21045</v>
      </c>
      <c r="C368">
        <v>2018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1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1</v>
      </c>
      <c r="Z368">
        <v>0</v>
      </c>
      <c r="AA368">
        <v>1</v>
      </c>
      <c r="AB368">
        <v>1</v>
      </c>
      <c r="AC368">
        <v>0</v>
      </c>
      <c r="AD368">
        <v>0</v>
      </c>
      <c r="AE368">
        <v>1</v>
      </c>
      <c r="AF368">
        <f>SUM(q2_raw[[#This Row],[1]:[28]])</f>
        <v>11</v>
      </c>
    </row>
    <row r="369" spans="2:32" hidden="1" x14ac:dyDescent="0.3">
      <c r="B369">
        <v>98730</v>
      </c>
      <c r="C369">
        <v>2018</v>
      </c>
      <c r="D369">
        <v>1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1</v>
      </c>
      <c r="P369">
        <v>1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1</v>
      </c>
      <c r="W369">
        <v>1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1</v>
      </c>
      <c r="AD369">
        <v>1</v>
      </c>
      <c r="AE369">
        <v>1</v>
      </c>
      <c r="AF369">
        <f>SUM(q2_raw[[#This Row],[1]:[28]])</f>
        <v>15</v>
      </c>
    </row>
    <row r="370" spans="2:32" hidden="1" x14ac:dyDescent="0.3">
      <c r="B370">
        <v>4811</v>
      </c>
      <c r="C370">
        <v>2018</v>
      </c>
      <c r="D370">
        <v>0</v>
      </c>
      <c r="E370">
        <v>1</v>
      </c>
      <c r="F370">
        <v>1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1</v>
      </c>
      <c r="AE370">
        <v>1</v>
      </c>
      <c r="AF370">
        <f>SUM(q2_raw[[#This Row],[1]:[28]])</f>
        <v>11</v>
      </c>
    </row>
    <row r="371" spans="2:32" hidden="1" x14ac:dyDescent="0.3">
      <c r="B371">
        <v>55963</v>
      </c>
      <c r="C371">
        <v>2018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0</v>
      </c>
      <c r="N371">
        <v>0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f>SUM(q2_raw[[#This Row],[1]:[28]])</f>
        <v>14</v>
      </c>
    </row>
    <row r="372" spans="2:32" hidden="1" x14ac:dyDescent="0.3">
      <c r="B372">
        <v>92186</v>
      </c>
      <c r="C372">
        <v>2018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1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0</v>
      </c>
      <c r="AF372">
        <f>SUM(q2_raw[[#This Row],[1]:[28]])</f>
        <v>7</v>
      </c>
    </row>
    <row r="373" spans="2:32" hidden="1" x14ac:dyDescent="0.3">
      <c r="B373">
        <v>8096</v>
      </c>
      <c r="C373">
        <v>2018</v>
      </c>
      <c r="D373">
        <v>1</v>
      </c>
      <c r="E373">
        <v>1</v>
      </c>
      <c r="F373">
        <v>1</v>
      </c>
      <c r="G373">
        <v>1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1</v>
      </c>
      <c r="Q373">
        <v>1</v>
      </c>
      <c r="R373">
        <v>1</v>
      </c>
      <c r="S373">
        <v>0</v>
      </c>
      <c r="T373">
        <v>1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1</v>
      </c>
      <c r="AE373">
        <v>0</v>
      </c>
      <c r="AF373">
        <f>SUM(q2_raw[[#This Row],[1]:[28]])</f>
        <v>15</v>
      </c>
    </row>
    <row r="374" spans="2:32" hidden="1" x14ac:dyDescent="0.3">
      <c r="B374">
        <v>60260</v>
      </c>
      <c r="C374">
        <v>2018</v>
      </c>
      <c r="D374">
        <v>0</v>
      </c>
      <c r="E374">
        <v>1</v>
      </c>
      <c r="F374">
        <v>1</v>
      </c>
      <c r="G374">
        <v>1</v>
      </c>
      <c r="H374">
        <v>0</v>
      </c>
      <c r="I374">
        <v>0</v>
      </c>
      <c r="J374">
        <v>1</v>
      </c>
      <c r="K374">
        <v>0</v>
      </c>
      <c r="L374">
        <v>1</v>
      </c>
      <c r="M374">
        <v>1</v>
      </c>
      <c r="N374">
        <v>0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1</v>
      </c>
      <c r="AC374">
        <v>1</v>
      </c>
      <c r="AD374">
        <v>0</v>
      </c>
      <c r="AE374">
        <v>1</v>
      </c>
      <c r="AF374">
        <f>SUM(q2_raw[[#This Row],[1]:[28]])</f>
        <v>13</v>
      </c>
    </row>
    <row r="375" spans="2:32" hidden="1" x14ac:dyDescent="0.3">
      <c r="B375">
        <v>5444</v>
      </c>
      <c r="C375">
        <v>2018</v>
      </c>
      <c r="D375">
        <v>0</v>
      </c>
      <c r="E375">
        <v>1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1</v>
      </c>
      <c r="O375">
        <v>0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f>SUM(q2_raw[[#This Row],[1]:[28]])</f>
        <v>11</v>
      </c>
    </row>
    <row r="376" spans="2:32" hidden="1" x14ac:dyDescent="0.3">
      <c r="B376">
        <v>18116</v>
      </c>
      <c r="C376">
        <v>2018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1</v>
      </c>
      <c r="R376">
        <v>1</v>
      </c>
      <c r="S376">
        <v>0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f>SUM(q2_raw[[#This Row],[1]:[28]])</f>
        <v>11</v>
      </c>
    </row>
    <row r="377" spans="2:32" hidden="1" x14ac:dyDescent="0.3">
      <c r="B377">
        <v>30045</v>
      </c>
      <c r="C377">
        <v>2018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f>SUM(q2_raw[[#This Row],[1]:[28]])</f>
        <v>8</v>
      </c>
    </row>
    <row r="378" spans="2:32" hidden="1" x14ac:dyDescent="0.3">
      <c r="B378">
        <v>92744</v>
      </c>
      <c r="C378">
        <v>2018</v>
      </c>
      <c r="D378">
        <v>0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1</v>
      </c>
      <c r="U378">
        <v>1</v>
      </c>
      <c r="V378">
        <v>1</v>
      </c>
      <c r="W378">
        <v>0</v>
      </c>
      <c r="X378">
        <v>1</v>
      </c>
      <c r="Y378">
        <v>0</v>
      </c>
      <c r="Z378">
        <v>1</v>
      </c>
      <c r="AA378">
        <v>1</v>
      </c>
      <c r="AB378">
        <v>1</v>
      </c>
      <c r="AC378">
        <v>0</v>
      </c>
      <c r="AD378">
        <v>0</v>
      </c>
      <c r="AE378">
        <v>1</v>
      </c>
      <c r="AF378">
        <f>SUM(q2_raw[[#This Row],[1]:[28]])</f>
        <v>12</v>
      </c>
    </row>
    <row r="379" spans="2:32" hidden="1" x14ac:dyDescent="0.3">
      <c r="B379">
        <v>17229</v>
      </c>
      <c r="C379">
        <v>2018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1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f>SUM(q2_raw[[#This Row],[1]:[28]])</f>
        <v>10</v>
      </c>
    </row>
    <row r="380" spans="2:32" hidden="1" x14ac:dyDescent="0.3">
      <c r="B380">
        <v>12861</v>
      </c>
      <c r="C380">
        <v>2018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1</v>
      </c>
      <c r="AB380">
        <v>0</v>
      </c>
      <c r="AC380">
        <v>1</v>
      </c>
      <c r="AD380">
        <v>1</v>
      </c>
      <c r="AE380">
        <v>0</v>
      </c>
      <c r="AF380">
        <f>SUM(q2_raw[[#This Row],[1]:[28]])</f>
        <v>15</v>
      </c>
    </row>
    <row r="381" spans="2:32" hidden="1" x14ac:dyDescent="0.3">
      <c r="B381">
        <v>77731</v>
      </c>
      <c r="C381">
        <v>2018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1</v>
      </c>
      <c r="K381">
        <v>1</v>
      </c>
      <c r="L381">
        <v>1</v>
      </c>
      <c r="M381">
        <v>1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1</v>
      </c>
      <c r="W381">
        <v>0</v>
      </c>
      <c r="X381">
        <v>1</v>
      </c>
      <c r="Y381">
        <v>1</v>
      </c>
      <c r="Z381">
        <v>0</v>
      </c>
      <c r="AA381">
        <v>0</v>
      </c>
      <c r="AB381">
        <v>1</v>
      </c>
      <c r="AC381">
        <v>0</v>
      </c>
      <c r="AD381">
        <v>1</v>
      </c>
      <c r="AE381">
        <v>0</v>
      </c>
      <c r="AF381">
        <f>SUM(q2_raw[[#This Row],[1]:[28]])</f>
        <v>17</v>
      </c>
    </row>
    <row r="382" spans="2:32" hidden="1" x14ac:dyDescent="0.3">
      <c r="B382">
        <v>7120</v>
      </c>
      <c r="C382">
        <v>2018</v>
      </c>
      <c r="D382">
        <v>1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  <c r="AE382">
        <v>0</v>
      </c>
      <c r="AF382">
        <f>SUM(q2_raw[[#This Row],[1]:[28]])</f>
        <v>15</v>
      </c>
    </row>
    <row r="383" spans="2:32" hidden="1" x14ac:dyDescent="0.3">
      <c r="B383">
        <v>71155</v>
      </c>
      <c r="C383">
        <v>2018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1</v>
      </c>
      <c r="P383">
        <v>0</v>
      </c>
      <c r="Q383">
        <v>1</v>
      </c>
      <c r="R383">
        <v>1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1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f>SUM(q2_raw[[#This Row],[1]:[28]])</f>
        <v>12</v>
      </c>
    </row>
    <row r="384" spans="2:32" hidden="1" x14ac:dyDescent="0.3">
      <c r="B384">
        <v>34834</v>
      </c>
      <c r="C384">
        <v>2018</v>
      </c>
      <c r="D384">
        <v>0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1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0</v>
      </c>
      <c r="AE384">
        <v>0</v>
      </c>
      <c r="AF384">
        <f>SUM(q2_raw[[#This Row],[1]:[28]])</f>
        <v>10</v>
      </c>
    </row>
    <row r="385" spans="2:32" hidden="1" x14ac:dyDescent="0.3">
      <c r="B385">
        <v>58813</v>
      </c>
      <c r="C385">
        <v>2018</v>
      </c>
      <c r="D385">
        <v>0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1</v>
      </c>
      <c r="N385">
        <v>0</v>
      </c>
      <c r="O385">
        <v>1</v>
      </c>
      <c r="P385">
        <v>1</v>
      </c>
      <c r="Q385">
        <v>0</v>
      </c>
      <c r="R385">
        <v>1</v>
      </c>
      <c r="S385">
        <v>1</v>
      </c>
      <c r="T385">
        <v>0</v>
      </c>
      <c r="U385">
        <v>0</v>
      </c>
      <c r="V385">
        <v>1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f>SUM(q2_raw[[#This Row],[1]:[28]])</f>
        <v>12</v>
      </c>
    </row>
    <row r="386" spans="2:32" hidden="1" x14ac:dyDescent="0.3">
      <c r="B386">
        <v>48483</v>
      </c>
      <c r="C386">
        <v>2018</v>
      </c>
      <c r="D386">
        <v>0</v>
      </c>
      <c r="E386">
        <v>1</v>
      </c>
      <c r="F386">
        <v>0</v>
      </c>
      <c r="G386">
        <v>1</v>
      </c>
      <c r="H386">
        <v>1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1</v>
      </c>
      <c r="Y386">
        <v>1</v>
      </c>
      <c r="Z386">
        <v>0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f>SUM(q2_raw[[#This Row],[1]:[28]])</f>
        <v>15</v>
      </c>
    </row>
    <row r="387" spans="2:32" hidden="1" x14ac:dyDescent="0.3">
      <c r="B387">
        <v>16371</v>
      </c>
      <c r="C387">
        <v>2018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  <c r="AE387">
        <v>1</v>
      </c>
      <c r="AF387">
        <f>SUM(q2_raw[[#This Row],[1]:[28]])</f>
        <v>14</v>
      </c>
    </row>
    <row r="388" spans="2:32" hidden="1" x14ac:dyDescent="0.3">
      <c r="B388">
        <v>37212</v>
      </c>
      <c r="C388">
        <v>2018</v>
      </c>
      <c r="D388">
        <v>0</v>
      </c>
      <c r="E388">
        <v>1</v>
      </c>
      <c r="F388">
        <v>1</v>
      </c>
      <c r="G388">
        <v>1</v>
      </c>
      <c r="H388">
        <v>0</v>
      </c>
      <c r="I388">
        <v>1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1</v>
      </c>
      <c r="Q388">
        <v>0</v>
      </c>
      <c r="R388">
        <v>1</v>
      </c>
      <c r="S388">
        <v>1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1</v>
      </c>
      <c r="AD388">
        <v>0</v>
      </c>
      <c r="AE388">
        <v>1</v>
      </c>
      <c r="AF388">
        <f>SUM(q2_raw[[#This Row],[1]:[28]])</f>
        <v>16</v>
      </c>
    </row>
    <row r="389" spans="2:32" hidden="1" x14ac:dyDescent="0.3">
      <c r="B389">
        <v>56671</v>
      </c>
      <c r="C389">
        <v>2018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f>SUM(q2_raw[[#This Row],[1]:[28]])</f>
        <v>9</v>
      </c>
    </row>
    <row r="390" spans="2:32" hidden="1" x14ac:dyDescent="0.3">
      <c r="B390">
        <v>62622</v>
      </c>
      <c r="C390">
        <v>2018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1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1</v>
      </c>
      <c r="AE390">
        <v>0</v>
      </c>
      <c r="AF390">
        <f>SUM(q2_raw[[#This Row],[1]:[28]])</f>
        <v>10</v>
      </c>
    </row>
    <row r="391" spans="2:32" hidden="1" x14ac:dyDescent="0.3">
      <c r="B391">
        <v>39317</v>
      </c>
      <c r="C391">
        <v>2018</v>
      </c>
      <c r="D391">
        <v>1</v>
      </c>
      <c r="E391">
        <v>0</v>
      </c>
      <c r="F391">
        <v>0</v>
      </c>
      <c r="G391">
        <v>1</v>
      </c>
      <c r="H391">
        <v>1</v>
      </c>
      <c r="I391">
        <v>0</v>
      </c>
      <c r="J391">
        <v>1</v>
      </c>
      <c r="K391">
        <v>1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0</v>
      </c>
      <c r="AD391">
        <v>1</v>
      </c>
      <c r="AE391">
        <v>1</v>
      </c>
      <c r="AF391">
        <f>SUM(q2_raw[[#This Row],[1]:[28]])</f>
        <v>15</v>
      </c>
    </row>
    <row r="392" spans="2:32" hidden="1" x14ac:dyDescent="0.3">
      <c r="B392">
        <v>63751</v>
      </c>
      <c r="C392">
        <v>2018</v>
      </c>
      <c r="D392">
        <v>0</v>
      </c>
      <c r="E392">
        <v>1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0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1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1</v>
      </c>
      <c r="AF392">
        <f>SUM(q2_raw[[#This Row],[1]:[28]])</f>
        <v>14</v>
      </c>
    </row>
    <row r="393" spans="2:32" hidden="1" x14ac:dyDescent="0.3">
      <c r="B393">
        <v>55959</v>
      </c>
      <c r="C393">
        <v>2018</v>
      </c>
      <c r="D393">
        <v>1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1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1</v>
      </c>
      <c r="Z393">
        <v>1</v>
      </c>
      <c r="AA393">
        <v>1</v>
      </c>
      <c r="AB393">
        <v>1</v>
      </c>
      <c r="AC393">
        <v>0</v>
      </c>
      <c r="AD393">
        <v>1</v>
      </c>
      <c r="AE393">
        <v>0</v>
      </c>
      <c r="AF393">
        <f>SUM(q2_raw[[#This Row],[1]:[28]])</f>
        <v>15</v>
      </c>
    </row>
    <row r="394" spans="2:32" hidden="1" x14ac:dyDescent="0.3">
      <c r="B394">
        <v>9118</v>
      </c>
      <c r="C394">
        <v>2018</v>
      </c>
      <c r="D394">
        <v>0</v>
      </c>
      <c r="E394">
        <v>1</v>
      </c>
      <c r="F394">
        <v>0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1</v>
      </c>
      <c r="Y394">
        <v>1</v>
      </c>
      <c r="Z394">
        <v>0</v>
      </c>
      <c r="AA394">
        <v>0</v>
      </c>
      <c r="AB394">
        <v>0</v>
      </c>
      <c r="AC394">
        <v>1</v>
      </c>
      <c r="AD394">
        <v>1</v>
      </c>
      <c r="AE394">
        <v>1</v>
      </c>
      <c r="AF394">
        <f>SUM(q2_raw[[#This Row],[1]:[28]])</f>
        <v>11</v>
      </c>
    </row>
    <row r="395" spans="2:32" hidden="1" x14ac:dyDescent="0.3">
      <c r="B395">
        <v>14662</v>
      </c>
      <c r="C395">
        <v>2018</v>
      </c>
      <c r="D395">
        <v>0</v>
      </c>
      <c r="E395">
        <v>1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1</v>
      </c>
      <c r="S395">
        <v>1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1</v>
      </c>
      <c r="AC395">
        <v>0</v>
      </c>
      <c r="AD395">
        <v>0</v>
      </c>
      <c r="AE395">
        <v>1</v>
      </c>
      <c r="AF395">
        <f>SUM(q2_raw[[#This Row],[1]:[28]])</f>
        <v>12</v>
      </c>
    </row>
    <row r="396" spans="2:32" hidden="1" x14ac:dyDescent="0.3">
      <c r="B396">
        <v>99006</v>
      </c>
      <c r="C396">
        <v>2018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1</v>
      </c>
      <c r="AD396">
        <v>1</v>
      </c>
      <c r="AE396">
        <v>1</v>
      </c>
      <c r="AF396">
        <f>SUM(q2_raw[[#This Row],[1]:[28]])</f>
        <v>9</v>
      </c>
    </row>
    <row r="397" spans="2:32" hidden="1" x14ac:dyDescent="0.3">
      <c r="B397">
        <v>42974</v>
      </c>
      <c r="C397">
        <v>2018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f>SUM(q2_raw[[#This Row],[1]:[28]])</f>
        <v>10</v>
      </c>
    </row>
    <row r="398" spans="2:32" hidden="1" x14ac:dyDescent="0.3">
      <c r="B398">
        <v>3994</v>
      </c>
      <c r="C398">
        <v>2018</v>
      </c>
      <c r="D398">
        <v>0</v>
      </c>
      <c r="E398">
        <v>0</v>
      </c>
      <c r="F398">
        <v>0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0</v>
      </c>
      <c r="Q398">
        <v>1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f>SUM(q2_raw[[#This Row],[1]:[28]])</f>
        <v>12</v>
      </c>
    </row>
    <row r="399" spans="2:32" hidden="1" x14ac:dyDescent="0.3">
      <c r="B399">
        <v>15988</v>
      </c>
      <c r="C399">
        <v>2018</v>
      </c>
      <c r="D399">
        <v>1</v>
      </c>
      <c r="E399">
        <v>1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1</v>
      </c>
      <c r="AA399">
        <v>0</v>
      </c>
      <c r="AB399">
        <v>1</v>
      </c>
      <c r="AC399">
        <v>1</v>
      </c>
      <c r="AD399">
        <v>1</v>
      </c>
      <c r="AE399">
        <v>0</v>
      </c>
      <c r="AF399">
        <f>SUM(q2_raw[[#This Row],[1]:[28]])</f>
        <v>15</v>
      </c>
    </row>
    <row r="400" spans="2:32" hidden="1" x14ac:dyDescent="0.3">
      <c r="B400">
        <v>42330</v>
      </c>
      <c r="C400">
        <v>2018</v>
      </c>
      <c r="D400">
        <v>1</v>
      </c>
      <c r="E400">
        <v>0</v>
      </c>
      <c r="F400">
        <v>0</v>
      </c>
      <c r="G400">
        <v>1</v>
      </c>
      <c r="H400">
        <v>1</v>
      </c>
      <c r="I400">
        <v>1</v>
      </c>
      <c r="J400">
        <v>0</v>
      </c>
      <c r="K400">
        <v>1</v>
      </c>
      <c r="L400">
        <v>0</v>
      </c>
      <c r="M400">
        <v>1</v>
      </c>
      <c r="N400">
        <v>1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1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f>SUM(q2_raw[[#This Row],[1]:[28]])</f>
        <v>16</v>
      </c>
    </row>
    <row r="401" spans="2:32" hidden="1" x14ac:dyDescent="0.3">
      <c r="B401">
        <v>80503</v>
      </c>
      <c r="C401">
        <v>2018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</v>
      </c>
      <c r="J401">
        <v>1</v>
      </c>
      <c r="K401">
        <v>0</v>
      </c>
      <c r="L401">
        <v>1</v>
      </c>
      <c r="M401">
        <v>1</v>
      </c>
      <c r="N401">
        <v>1</v>
      </c>
      <c r="O401">
        <v>1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1</v>
      </c>
      <c r="W401">
        <v>1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f>SUM(q2_raw[[#This Row],[1]:[28]])</f>
        <v>17</v>
      </c>
    </row>
    <row r="402" spans="2:32" hidden="1" x14ac:dyDescent="0.3">
      <c r="B402">
        <v>10576</v>
      </c>
      <c r="C402">
        <v>2018</v>
      </c>
      <c r="D402">
        <v>0</v>
      </c>
      <c r="E402">
        <v>1</v>
      </c>
      <c r="F402">
        <v>0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0</v>
      </c>
      <c r="M402">
        <v>1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1</v>
      </c>
      <c r="Z402">
        <v>1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f>SUM(q2_raw[[#This Row],[1]:[28]])</f>
        <v>12</v>
      </c>
    </row>
    <row r="403" spans="2:32" hidden="1" x14ac:dyDescent="0.3">
      <c r="B403">
        <v>76098</v>
      </c>
      <c r="C403">
        <v>2018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0</v>
      </c>
      <c r="V403">
        <v>1</v>
      </c>
      <c r="W403">
        <v>1</v>
      </c>
      <c r="X403">
        <v>0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0</v>
      </c>
      <c r="AE403">
        <v>0</v>
      </c>
      <c r="AF403">
        <f>SUM(q2_raw[[#This Row],[1]:[28]])</f>
        <v>13</v>
      </c>
    </row>
    <row r="404" spans="2:32" hidden="1" x14ac:dyDescent="0.3">
      <c r="B404">
        <v>79581</v>
      </c>
      <c r="C404">
        <v>2018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1</v>
      </c>
      <c r="AC404">
        <v>0</v>
      </c>
      <c r="AD404">
        <v>1</v>
      </c>
      <c r="AE404">
        <v>0</v>
      </c>
      <c r="AF404">
        <f>SUM(q2_raw[[#This Row],[1]:[28]])</f>
        <v>11</v>
      </c>
    </row>
    <row r="405" spans="2:32" hidden="1" x14ac:dyDescent="0.3">
      <c r="B405">
        <v>99705</v>
      </c>
      <c r="C405">
        <v>2018</v>
      </c>
      <c r="D405">
        <v>0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1</v>
      </c>
      <c r="L405">
        <v>1</v>
      </c>
      <c r="M405">
        <v>1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1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1</v>
      </c>
      <c r="AB405">
        <v>1</v>
      </c>
      <c r="AC405">
        <v>0</v>
      </c>
      <c r="AD405">
        <v>1</v>
      </c>
      <c r="AE405">
        <v>0</v>
      </c>
      <c r="AF405">
        <f>SUM(q2_raw[[#This Row],[1]:[28]])</f>
        <v>14</v>
      </c>
    </row>
    <row r="406" spans="2:32" hidden="1" x14ac:dyDescent="0.3">
      <c r="B406">
        <v>1528</v>
      </c>
      <c r="C406">
        <v>2018</v>
      </c>
      <c r="D406">
        <v>1</v>
      </c>
      <c r="E406">
        <v>0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0</v>
      </c>
      <c r="P406">
        <v>1</v>
      </c>
      <c r="Q406">
        <v>1</v>
      </c>
      <c r="R406">
        <v>1</v>
      </c>
      <c r="S406">
        <v>0</v>
      </c>
      <c r="T406">
        <v>1</v>
      </c>
      <c r="U406">
        <v>0</v>
      </c>
      <c r="V406">
        <v>1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0</v>
      </c>
      <c r="AF406">
        <f>SUM(q2_raw[[#This Row],[1]:[28]])</f>
        <v>15</v>
      </c>
    </row>
    <row r="407" spans="2:32" hidden="1" x14ac:dyDescent="0.3">
      <c r="B407">
        <v>16192</v>
      </c>
      <c r="C407">
        <v>2018</v>
      </c>
      <c r="D407">
        <v>0</v>
      </c>
      <c r="E407">
        <v>0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</v>
      </c>
      <c r="U407">
        <v>0</v>
      </c>
      <c r="V407">
        <v>1</v>
      </c>
      <c r="W407">
        <v>0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f>SUM(q2_raw[[#This Row],[1]:[28]])</f>
        <v>10</v>
      </c>
    </row>
    <row r="408" spans="2:32" hidden="1" x14ac:dyDescent="0.3">
      <c r="B408">
        <v>73600</v>
      </c>
      <c r="C408">
        <v>2018</v>
      </c>
      <c r="D408">
        <v>1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1</v>
      </c>
      <c r="P408">
        <v>1</v>
      </c>
      <c r="Q408">
        <v>1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1</v>
      </c>
      <c r="AF408">
        <f>SUM(q2_raw[[#This Row],[1]:[28]])</f>
        <v>13</v>
      </c>
    </row>
    <row r="409" spans="2:32" hidden="1" x14ac:dyDescent="0.3">
      <c r="B409">
        <v>30679</v>
      </c>
      <c r="C409">
        <v>2018</v>
      </c>
      <c r="D409">
        <v>0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1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f>SUM(q2_raw[[#This Row],[1]:[28]])</f>
        <v>14</v>
      </c>
    </row>
    <row r="410" spans="2:32" hidden="1" x14ac:dyDescent="0.3">
      <c r="B410">
        <v>323</v>
      </c>
      <c r="C410">
        <v>2018</v>
      </c>
      <c r="D410">
        <v>0</v>
      </c>
      <c r="E410">
        <v>1</v>
      </c>
      <c r="F410">
        <v>0</v>
      </c>
      <c r="G410">
        <v>1</v>
      </c>
      <c r="H410">
        <v>1</v>
      </c>
      <c r="I410">
        <v>0</v>
      </c>
      <c r="J410">
        <v>1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1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1</v>
      </c>
      <c r="AD410">
        <v>1</v>
      </c>
      <c r="AE410">
        <v>0</v>
      </c>
      <c r="AF410">
        <f>SUM(q2_raw[[#This Row],[1]:[28]])</f>
        <v>14</v>
      </c>
    </row>
    <row r="411" spans="2:32" hidden="1" x14ac:dyDescent="0.3">
      <c r="B411">
        <v>8355</v>
      </c>
      <c r="C411">
        <v>2018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1</v>
      </c>
      <c r="Y411">
        <v>0</v>
      </c>
      <c r="Z411">
        <v>1</v>
      </c>
      <c r="AA411">
        <v>1</v>
      </c>
      <c r="AB411">
        <v>0</v>
      </c>
      <c r="AC411">
        <v>1</v>
      </c>
      <c r="AD411">
        <v>0</v>
      </c>
      <c r="AE411">
        <v>0</v>
      </c>
      <c r="AF411">
        <f>SUM(q2_raw[[#This Row],[1]:[28]])</f>
        <v>16</v>
      </c>
    </row>
    <row r="412" spans="2:32" hidden="1" x14ac:dyDescent="0.3">
      <c r="B412">
        <v>8816</v>
      </c>
      <c r="C412">
        <v>2018</v>
      </c>
      <c r="D412">
        <v>0</v>
      </c>
      <c r="E412">
        <v>1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0</v>
      </c>
      <c r="M412">
        <v>1</v>
      </c>
      <c r="N412">
        <v>0</v>
      </c>
      <c r="O412">
        <v>1</v>
      </c>
      <c r="P412">
        <v>1</v>
      </c>
      <c r="Q412">
        <v>0</v>
      </c>
      <c r="R412">
        <v>1</v>
      </c>
      <c r="S412">
        <v>0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1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f>SUM(q2_raw[[#This Row],[1]:[28]])</f>
        <v>15</v>
      </c>
    </row>
    <row r="413" spans="2:32" hidden="1" x14ac:dyDescent="0.3">
      <c r="B413">
        <v>4236</v>
      </c>
      <c r="C413">
        <v>2018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1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f>SUM(q2_raw[[#This Row],[1]:[28]])</f>
        <v>11</v>
      </c>
    </row>
    <row r="414" spans="2:32" hidden="1" x14ac:dyDescent="0.3">
      <c r="B414">
        <v>14999</v>
      </c>
      <c r="C414">
        <v>2018</v>
      </c>
      <c r="D414">
        <v>1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1</v>
      </c>
      <c r="K414">
        <v>0</v>
      </c>
      <c r="L414">
        <v>1</v>
      </c>
      <c r="M414">
        <v>0</v>
      </c>
      <c r="N414">
        <v>1</v>
      </c>
      <c r="O414">
        <v>1</v>
      </c>
      <c r="P414">
        <v>0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0</v>
      </c>
      <c r="W414">
        <v>0</v>
      </c>
      <c r="X414">
        <v>1</v>
      </c>
      <c r="Y414">
        <v>1</v>
      </c>
      <c r="Z414">
        <v>0</v>
      </c>
      <c r="AA414">
        <v>0</v>
      </c>
      <c r="AB414">
        <v>1</v>
      </c>
      <c r="AC414">
        <v>0</v>
      </c>
      <c r="AD414">
        <v>1</v>
      </c>
      <c r="AE414">
        <v>0</v>
      </c>
      <c r="AF414">
        <f>SUM(q2_raw[[#This Row],[1]:[28]])</f>
        <v>16</v>
      </c>
    </row>
    <row r="415" spans="2:32" hidden="1" x14ac:dyDescent="0.3">
      <c r="B415">
        <v>72979</v>
      </c>
      <c r="C415">
        <v>2018</v>
      </c>
      <c r="D415">
        <v>0</v>
      </c>
      <c r="E415">
        <v>1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0</v>
      </c>
      <c r="P415">
        <v>1</v>
      </c>
      <c r="Q415">
        <v>0</v>
      </c>
      <c r="R415">
        <v>1</v>
      </c>
      <c r="S415">
        <v>1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1</v>
      </c>
      <c r="AD415">
        <v>0</v>
      </c>
      <c r="AE415">
        <v>0</v>
      </c>
      <c r="AF415">
        <f>SUM(q2_raw[[#This Row],[1]:[28]])</f>
        <v>12</v>
      </c>
    </row>
    <row r="416" spans="2:32" hidden="1" x14ac:dyDescent="0.3">
      <c r="B416">
        <v>48832</v>
      </c>
      <c r="C416">
        <v>2018</v>
      </c>
      <c r="D416">
        <v>0</v>
      </c>
      <c r="E416">
        <v>1</v>
      </c>
      <c r="F416">
        <v>0</v>
      </c>
      <c r="G416">
        <v>1</v>
      </c>
      <c r="H416">
        <v>1</v>
      </c>
      <c r="I416">
        <v>1</v>
      </c>
      <c r="J416">
        <v>0</v>
      </c>
      <c r="K416">
        <v>1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1</v>
      </c>
      <c r="T416">
        <v>1</v>
      </c>
      <c r="U416">
        <v>0</v>
      </c>
      <c r="V416">
        <v>1</v>
      </c>
      <c r="W416">
        <v>0</v>
      </c>
      <c r="X416">
        <v>0</v>
      </c>
      <c r="Y416">
        <v>1</v>
      </c>
      <c r="Z416">
        <v>0</v>
      </c>
      <c r="AA416">
        <v>1</v>
      </c>
      <c r="AB416">
        <v>1</v>
      </c>
      <c r="AC416">
        <v>1</v>
      </c>
      <c r="AD416">
        <v>0</v>
      </c>
      <c r="AE416">
        <v>0</v>
      </c>
      <c r="AF416">
        <f>SUM(q2_raw[[#This Row],[1]:[28]])</f>
        <v>15</v>
      </c>
    </row>
    <row r="417" spans="2:32" hidden="1" x14ac:dyDescent="0.3">
      <c r="B417">
        <v>61598</v>
      </c>
      <c r="C417">
        <v>2018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0</v>
      </c>
      <c r="K417">
        <v>0</v>
      </c>
      <c r="L417">
        <v>1</v>
      </c>
      <c r="M417">
        <v>1</v>
      </c>
      <c r="N417">
        <v>0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0</v>
      </c>
      <c r="AA417">
        <v>0</v>
      </c>
      <c r="AB417">
        <v>1</v>
      </c>
      <c r="AC417">
        <v>1</v>
      </c>
      <c r="AD417">
        <v>1</v>
      </c>
      <c r="AE417">
        <v>1</v>
      </c>
      <c r="AF417">
        <f>SUM(q2_raw[[#This Row],[1]:[28]])</f>
        <v>22</v>
      </c>
    </row>
    <row r="418" spans="2:32" hidden="1" x14ac:dyDescent="0.3">
      <c r="B418">
        <v>53161</v>
      </c>
      <c r="C418">
        <v>2018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f>SUM(q2_raw[[#This Row],[1]:[28]])</f>
        <v>14</v>
      </c>
    </row>
    <row r="419" spans="2:32" hidden="1" x14ac:dyDescent="0.3">
      <c r="B419">
        <v>77676</v>
      </c>
      <c r="C419">
        <v>2018</v>
      </c>
      <c r="D419">
        <v>0</v>
      </c>
      <c r="E419">
        <v>1</v>
      </c>
      <c r="F419">
        <v>0</v>
      </c>
      <c r="G419">
        <v>0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0</v>
      </c>
      <c r="AE419">
        <v>0</v>
      </c>
      <c r="AF419">
        <f>SUM(q2_raw[[#This Row],[1]:[28]])</f>
        <v>13</v>
      </c>
    </row>
    <row r="420" spans="2:32" hidden="1" x14ac:dyDescent="0.3">
      <c r="B420">
        <v>47780</v>
      </c>
      <c r="C420">
        <v>2018</v>
      </c>
      <c r="D420">
        <v>1</v>
      </c>
      <c r="E420">
        <v>0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1</v>
      </c>
      <c r="P420">
        <v>1</v>
      </c>
      <c r="Q420">
        <v>0</v>
      </c>
      <c r="R420">
        <v>0</v>
      </c>
      <c r="S420">
        <v>1</v>
      </c>
      <c r="T420">
        <v>1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f>SUM(q2_raw[[#This Row],[1]:[28]])</f>
        <v>13</v>
      </c>
    </row>
    <row r="421" spans="2:32" hidden="1" x14ac:dyDescent="0.3">
      <c r="B421">
        <v>73782</v>
      </c>
      <c r="C421">
        <v>2018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1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1</v>
      </c>
      <c r="AE421">
        <v>1</v>
      </c>
      <c r="AF421">
        <f>SUM(q2_raw[[#This Row],[1]:[28]])</f>
        <v>11</v>
      </c>
    </row>
    <row r="422" spans="2:32" hidden="1" x14ac:dyDescent="0.3">
      <c r="B422">
        <v>34313</v>
      </c>
      <c r="C422">
        <v>2018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f>SUM(q2_raw[[#This Row],[1]:[28]])</f>
        <v>9</v>
      </c>
    </row>
    <row r="423" spans="2:32" hidden="1" x14ac:dyDescent="0.3">
      <c r="B423">
        <v>84220</v>
      </c>
      <c r="C423">
        <v>2018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1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1</v>
      </c>
      <c r="AB423">
        <v>0</v>
      </c>
      <c r="AC423">
        <v>1</v>
      </c>
      <c r="AD423">
        <v>1</v>
      </c>
      <c r="AE423">
        <v>0</v>
      </c>
      <c r="AF423">
        <f>SUM(q2_raw[[#This Row],[1]:[28]])</f>
        <v>13</v>
      </c>
    </row>
    <row r="424" spans="2:32" hidden="1" x14ac:dyDescent="0.3">
      <c r="B424">
        <v>48109</v>
      </c>
      <c r="C424">
        <v>2018</v>
      </c>
      <c r="D424">
        <v>0</v>
      </c>
      <c r="E424">
        <v>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f>SUM(q2_raw[[#This Row],[1]:[28]])</f>
        <v>10</v>
      </c>
    </row>
    <row r="425" spans="2:32" hidden="1" x14ac:dyDescent="0.3">
      <c r="B425">
        <v>46978</v>
      </c>
      <c r="C425">
        <v>2018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f>SUM(q2_raw[[#This Row],[1]:[28]])</f>
        <v>11</v>
      </c>
    </row>
    <row r="426" spans="2:32" hidden="1" x14ac:dyDescent="0.3">
      <c r="B426">
        <v>60375</v>
      </c>
      <c r="C426">
        <v>2018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1</v>
      </c>
      <c r="AD426">
        <v>0</v>
      </c>
      <c r="AE426">
        <v>1</v>
      </c>
      <c r="AF426">
        <f>SUM(q2_raw[[#This Row],[1]:[28]])</f>
        <v>10</v>
      </c>
    </row>
    <row r="427" spans="2:32" hidden="1" x14ac:dyDescent="0.3">
      <c r="B427">
        <v>36940</v>
      </c>
      <c r="C427">
        <v>2018</v>
      </c>
      <c r="D427">
        <v>1</v>
      </c>
      <c r="E427">
        <v>0</v>
      </c>
      <c r="F427">
        <v>0</v>
      </c>
      <c r="G427">
        <v>0</v>
      </c>
      <c r="H427">
        <v>1</v>
      </c>
      <c r="I427">
        <v>1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0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1</v>
      </c>
      <c r="AD427">
        <v>1</v>
      </c>
      <c r="AE427">
        <v>1</v>
      </c>
      <c r="AF427">
        <f>SUM(q2_raw[[#This Row],[1]:[28]])</f>
        <v>15</v>
      </c>
    </row>
    <row r="428" spans="2:32" hidden="1" x14ac:dyDescent="0.3">
      <c r="B428">
        <v>42803</v>
      </c>
      <c r="C428">
        <v>2018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1</v>
      </c>
      <c r="Z428">
        <v>0</v>
      </c>
      <c r="AA428">
        <v>0</v>
      </c>
      <c r="AB428">
        <v>1</v>
      </c>
      <c r="AC428">
        <v>0</v>
      </c>
      <c r="AD428">
        <v>1</v>
      </c>
      <c r="AE428">
        <v>1</v>
      </c>
      <c r="AF428">
        <f>SUM(q2_raw[[#This Row],[1]:[28]])</f>
        <v>12</v>
      </c>
    </row>
    <row r="429" spans="2:32" hidden="1" x14ac:dyDescent="0.3">
      <c r="B429">
        <v>78540</v>
      </c>
      <c r="C429">
        <v>2018</v>
      </c>
      <c r="D429">
        <v>1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1</v>
      </c>
      <c r="K429">
        <v>1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0</v>
      </c>
      <c r="AA429">
        <v>1</v>
      </c>
      <c r="AB429">
        <v>0</v>
      </c>
      <c r="AC429">
        <v>1</v>
      </c>
      <c r="AD429">
        <v>1</v>
      </c>
      <c r="AE429">
        <v>1</v>
      </c>
      <c r="AF429">
        <f>SUM(q2_raw[[#This Row],[1]:[28]])</f>
        <v>16</v>
      </c>
    </row>
    <row r="430" spans="2:32" hidden="1" x14ac:dyDescent="0.3">
      <c r="B430">
        <v>35533</v>
      </c>
      <c r="C430">
        <v>2018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f>SUM(q2_raw[[#This Row],[1]:[28]])</f>
        <v>8</v>
      </c>
    </row>
    <row r="431" spans="2:32" hidden="1" x14ac:dyDescent="0.3">
      <c r="B431">
        <v>26805</v>
      </c>
      <c r="C431">
        <v>2018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1</v>
      </c>
      <c r="Z431">
        <v>1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f>SUM(q2_raw[[#This Row],[1]:[28]])</f>
        <v>9</v>
      </c>
    </row>
    <row r="432" spans="2:32" hidden="1" x14ac:dyDescent="0.3">
      <c r="B432">
        <v>68693</v>
      </c>
      <c r="C432">
        <v>2018</v>
      </c>
      <c r="D432">
        <v>0</v>
      </c>
      <c r="E432">
        <v>1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1</v>
      </c>
      <c r="N432">
        <v>0</v>
      </c>
      <c r="O432">
        <v>1</v>
      </c>
      <c r="P432">
        <v>1</v>
      </c>
      <c r="Q432">
        <v>0</v>
      </c>
      <c r="R432">
        <v>1</v>
      </c>
      <c r="S432">
        <v>1</v>
      </c>
      <c r="T432">
        <v>0</v>
      </c>
      <c r="U432">
        <v>1</v>
      </c>
      <c r="V432">
        <v>1</v>
      </c>
      <c r="W432">
        <v>0</v>
      </c>
      <c r="X432">
        <v>1</v>
      </c>
      <c r="Y432">
        <v>1</v>
      </c>
      <c r="Z432">
        <v>0</v>
      </c>
      <c r="AA432">
        <v>1</v>
      </c>
      <c r="AB432">
        <v>0</v>
      </c>
      <c r="AC432">
        <v>1</v>
      </c>
      <c r="AD432">
        <v>1</v>
      </c>
      <c r="AE432">
        <v>0</v>
      </c>
      <c r="AF432">
        <f>SUM(q2_raw[[#This Row],[1]:[28]])</f>
        <v>15</v>
      </c>
    </row>
    <row r="433" spans="2:32" hidden="1" x14ac:dyDescent="0.3">
      <c r="B433">
        <v>44400</v>
      </c>
      <c r="C433">
        <v>2018</v>
      </c>
      <c r="D433">
        <v>0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f>SUM(q2_raw[[#This Row],[1]:[28]])</f>
        <v>15</v>
      </c>
    </row>
    <row r="434" spans="2:32" hidden="1" x14ac:dyDescent="0.3">
      <c r="B434">
        <v>70501</v>
      </c>
      <c r="C434">
        <v>2018</v>
      </c>
      <c r="D434">
        <v>0</v>
      </c>
      <c r="E434">
        <v>1</v>
      </c>
      <c r="F434">
        <v>1</v>
      </c>
      <c r="G434">
        <v>1</v>
      </c>
      <c r="H434">
        <v>0</v>
      </c>
      <c r="I434">
        <v>1</v>
      </c>
      <c r="J434">
        <v>0</v>
      </c>
      <c r="K434">
        <v>1</v>
      </c>
      <c r="L434">
        <v>1</v>
      </c>
      <c r="M434">
        <v>1</v>
      </c>
      <c r="N434">
        <v>0</v>
      </c>
      <c r="O434">
        <v>0</v>
      </c>
      <c r="P434">
        <v>1</v>
      </c>
      <c r="Q434">
        <v>0</v>
      </c>
      <c r="R434">
        <v>1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1</v>
      </c>
      <c r="AB434">
        <v>0</v>
      </c>
      <c r="AC434">
        <v>1</v>
      </c>
      <c r="AD434">
        <v>1</v>
      </c>
      <c r="AE434">
        <v>0</v>
      </c>
      <c r="AF434">
        <f>SUM(q2_raw[[#This Row],[1]:[28]])</f>
        <v>15</v>
      </c>
    </row>
    <row r="435" spans="2:32" hidden="1" x14ac:dyDescent="0.3">
      <c r="B435">
        <v>34579</v>
      </c>
      <c r="C435">
        <v>2018</v>
      </c>
      <c r="D435">
        <v>1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1</v>
      </c>
      <c r="Z435">
        <v>1</v>
      </c>
      <c r="AA435">
        <v>0</v>
      </c>
      <c r="AB435">
        <v>1</v>
      </c>
      <c r="AC435">
        <v>1</v>
      </c>
      <c r="AD435">
        <v>0</v>
      </c>
      <c r="AE435">
        <v>0</v>
      </c>
      <c r="AF435">
        <f>SUM(q2_raw[[#This Row],[1]:[28]])</f>
        <v>14</v>
      </c>
    </row>
    <row r="436" spans="2:32" hidden="1" x14ac:dyDescent="0.3">
      <c r="B436">
        <v>45547</v>
      </c>
      <c r="C436">
        <v>2018</v>
      </c>
      <c r="D436">
        <v>1</v>
      </c>
      <c r="E436">
        <v>0</v>
      </c>
      <c r="F436">
        <v>0</v>
      </c>
      <c r="G436">
        <v>1</v>
      </c>
      <c r="H436">
        <v>1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1</v>
      </c>
      <c r="P436">
        <v>0</v>
      </c>
      <c r="Q436">
        <v>1</v>
      </c>
      <c r="R436">
        <v>0</v>
      </c>
      <c r="S436">
        <v>1</v>
      </c>
      <c r="T436">
        <v>1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f>SUM(q2_raw[[#This Row],[1]:[28]])</f>
        <v>12</v>
      </c>
    </row>
    <row r="437" spans="2:32" hidden="1" x14ac:dyDescent="0.3">
      <c r="B437">
        <v>14007</v>
      </c>
      <c r="C437">
        <v>2018</v>
      </c>
      <c r="D437">
        <v>1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1</v>
      </c>
      <c r="T437">
        <v>1</v>
      </c>
      <c r="U437">
        <v>0</v>
      </c>
      <c r="V437">
        <v>1</v>
      </c>
      <c r="W437">
        <v>1</v>
      </c>
      <c r="X437">
        <v>1</v>
      </c>
      <c r="Y437">
        <v>1</v>
      </c>
      <c r="Z437">
        <v>0</v>
      </c>
      <c r="AA437">
        <v>1</v>
      </c>
      <c r="AB437">
        <v>0</v>
      </c>
      <c r="AC437">
        <v>0</v>
      </c>
      <c r="AD437">
        <v>1</v>
      </c>
      <c r="AE437">
        <v>0</v>
      </c>
      <c r="AF437">
        <f>SUM(q2_raw[[#This Row],[1]:[28]])</f>
        <v>15</v>
      </c>
    </row>
    <row r="438" spans="2:32" hidden="1" x14ac:dyDescent="0.3">
      <c r="B438">
        <v>800</v>
      </c>
      <c r="C438">
        <v>2018</v>
      </c>
      <c r="D438">
        <v>0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1</v>
      </c>
      <c r="W438">
        <v>0</v>
      </c>
      <c r="X438">
        <v>1</v>
      </c>
      <c r="Y438">
        <v>1</v>
      </c>
      <c r="Z438">
        <v>1</v>
      </c>
      <c r="AA438">
        <v>0</v>
      </c>
      <c r="AB438">
        <v>0</v>
      </c>
      <c r="AC438">
        <v>1</v>
      </c>
      <c r="AD438">
        <v>1</v>
      </c>
      <c r="AE438">
        <v>0</v>
      </c>
      <c r="AF438">
        <f>SUM(q2_raw[[#This Row],[1]:[28]])</f>
        <v>13</v>
      </c>
    </row>
    <row r="439" spans="2:32" hidden="1" x14ac:dyDescent="0.3">
      <c r="B439">
        <v>49474</v>
      </c>
      <c r="C439">
        <v>2018</v>
      </c>
      <c r="D439">
        <v>1</v>
      </c>
      <c r="E439">
        <v>1</v>
      </c>
      <c r="F439">
        <v>0</v>
      </c>
      <c r="G439">
        <v>1</v>
      </c>
      <c r="H439">
        <v>1</v>
      </c>
      <c r="I439">
        <v>1</v>
      </c>
      <c r="J439">
        <v>0</v>
      </c>
      <c r="K439">
        <v>1</v>
      </c>
      <c r="L439">
        <v>1</v>
      </c>
      <c r="M439">
        <v>1</v>
      </c>
      <c r="N439">
        <v>0</v>
      </c>
      <c r="O439">
        <v>1</v>
      </c>
      <c r="P439">
        <v>1</v>
      </c>
      <c r="Q439">
        <v>1</v>
      </c>
      <c r="R439">
        <v>0</v>
      </c>
      <c r="S439">
        <v>1</v>
      </c>
      <c r="T439">
        <v>1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f>SUM(q2_raw[[#This Row],[1]:[28]])</f>
        <v>16</v>
      </c>
    </row>
    <row r="440" spans="2:32" hidden="1" x14ac:dyDescent="0.3">
      <c r="B440">
        <v>671</v>
      </c>
      <c r="C440">
        <v>2018</v>
      </c>
      <c r="D440">
        <v>0</v>
      </c>
      <c r="E440">
        <v>0</v>
      </c>
      <c r="F440">
        <v>1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1</v>
      </c>
      <c r="AB440">
        <v>0</v>
      </c>
      <c r="AC440">
        <v>1</v>
      </c>
      <c r="AD440">
        <v>1</v>
      </c>
      <c r="AE440">
        <v>0</v>
      </c>
      <c r="AF440">
        <f>SUM(q2_raw[[#This Row],[1]:[28]])</f>
        <v>8</v>
      </c>
    </row>
    <row r="441" spans="2:32" hidden="1" x14ac:dyDescent="0.3">
      <c r="B441">
        <v>24319</v>
      </c>
      <c r="C441">
        <v>2018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1</v>
      </c>
      <c r="L441">
        <v>1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1</v>
      </c>
      <c r="U441">
        <v>1</v>
      </c>
      <c r="V441">
        <v>0</v>
      </c>
      <c r="W441">
        <v>0</v>
      </c>
      <c r="X441">
        <v>1</v>
      </c>
      <c r="Y441">
        <v>1</v>
      </c>
      <c r="Z441">
        <v>1</v>
      </c>
      <c r="AA441">
        <v>1</v>
      </c>
      <c r="AB441">
        <v>0</v>
      </c>
      <c r="AC441">
        <v>1</v>
      </c>
      <c r="AD441">
        <v>1</v>
      </c>
      <c r="AE441">
        <v>0</v>
      </c>
      <c r="AF441">
        <f>SUM(q2_raw[[#This Row],[1]:[28]])</f>
        <v>12</v>
      </c>
    </row>
    <row r="442" spans="2:32" hidden="1" x14ac:dyDescent="0.3">
      <c r="B442">
        <v>34052</v>
      </c>
      <c r="C442">
        <v>2018</v>
      </c>
      <c r="D442">
        <v>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1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f>SUM(q2_raw[[#This Row],[1]:[28]])</f>
        <v>17</v>
      </c>
    </row>
    <row r="443" spans="2:32" hidden="1" x14ac:dyDescent="0.3">
      <c r="B443">
        <v>79867</v>
      </c>
      <c r="C443">
        <v>2018</v>
      </c>
      <c r="D443">
        <v>0</v>
      </c>
      <c r="E443">
        <v>0</v>
      </c>
      <c r="F443">
        <v>1</v>
      </c>
      <c r="G443">
        <v>1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f>SUM(q2_raw[[#This Row],[1]:[28]])</f>
        <v>11</v>
      </c>
    </row>
    <row r="444" spans="2:32" hidden="1" x14ac:dyDescent="0.3">
      <c r="B444">
        <v>63810</v>
      </c>
      <c r="C444">
        <v>2018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1</v>
      </c>
      <c r="O444">
        <v>1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0</v>
      </c>
      <c r="Z444">
        <v>0</v>
      </c>
      <c r="AA444">
        <v>1</v>
      </c>
      <c r="AB444">
        <v>1</v>
      </c>
      <c r="AC444">
        <v>0</v>
      </c>
      <c r="AD444">
        <v>0</v>
      </c>
      <c r="AE444">
        <v>1</v>
      </c>
      <c r="AF444">
        <f>SUM(q2_raw[[#This Row],[1]:[28]])</f>
        <v>12</v>
      </c>
    </row>
    <row r="445" spans="2:32" hidden="1" x14ac:dyDescent="0.3">
      <c r="B445">
        <v>94457</v>
      </c>
      <c r="C445">
        <v>2018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0</v>
      </c>
      <c r="M445">
        <v>0</v>
      </c>
      <c r="N445">
        <v>1</v>
      </c>
      <c r="O445">
        <v>1</v>
      </c>
      <c r="P445">
        <v>0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1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f>SUM(q2_raw[[#This Row],[1]:[28]])</f>
        <v>13</v>
      </c>
    </row>
    <row r="446" spans="2:32" hidden="1" x14ac:dyDescent="0.3">
      <c r="B446">
        <v>7770</v>
      </c>
      <c r="C446">
        <v>2018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1</v>
      </c>
      <c r="O446">
        <v>0</v>
      </c>
      <c r="P446">
        <v>0</v>
      </c>
      <c r="Q446">
        <v>1</v>
      </c>
      <c r="R446">
        <v>1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1</v>
      </c>
      <c r="Y446">
        <v>1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f>SUM(q2_raw[[#This Row],[1]:[28]])</f>
        <v>10</v>
      </c>
    </row>
    <row r="447" spans="2:32" hidden="1" x14ac:dyDescent="0.3">
      <c r="B447">
        <v>95977</v>
      </c>
      <c r="C447">
        <v>2018</v>
      </c>
      <c r="D447">
        <v>0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1</v>
      </c>
      <c r="AA447">
        <v>1</v>
      </c>
      <c r="AB447">
        <v>1</v>
      </c>
      <c r="AC447">
        <v>0</v>
      </c>
      <c r="AD447">
        <v>1</v>
      </c>
      <c r="AE447">
        <v>1</v>
      </c>
      <c r="AF447">
        <f>SUM(q2_raw[[#This Row],[1]:[28]])</f>
        <v>13</v>
      </c>
    </row>
    <row r="448" spans="2:32" hidden="1" x14ac:dyDescent="0.3">
      <c r="B448">
        <v>81268</v>
      </c>
      <c r="C448">
        <v>2018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1</v>
      </c>
      <c r="Z448">
        <v>1</v>
      </c>
      <c r="AA448">
        <v>1</v>
      </c>
      <c r="AB448">
        <v>0</v>
      </c>
      <c r="AC448">
        <v>1</v>
      </c>
      <c r="AD448">
        <v>1</v>
      </c>
      <c r="AE448">
        <v>1</v>
      </c>
      <c r="AF448">
        <f>SUM(q2_raw[[#This Row],[1]:[28]])</f>
        <v>15</v>
      </c>
    </row>
    <row r="449" spans="2:32" hidden="1" x14ac:dyDescent="0.3">
      <c r="B449">
        <v>37520</v>
      </c>
      <c r="C449">
        <v>2018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1</v>
      </c>
      <c r="AB449">
        <v>1</v>
      </c>
      <c r="AC449">
        <v>0</v>
      </c>
      <c r="AD449">
        <v>1</v>
      </c>
      <c r="AE449">
        <v>1</v>
      </c>
      <c r="AF449">
        <f>SUM(q2_raw[[#This Row],[1]:[28]])</f>
        <v>17</v>
      </c>
    </row>
    <row r="450" spans="2:32" hidden="1" x14ac:dyDescent="0.3">
      <c r="B450">
        <v>11588</v>
      </c>
      <c r="C450">
        <v>2018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1</v>
      </c>
      <c r="Y450">
        <v>1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f>SUM(q2_raw[[#This Row],[1]:[28]])</f>
        <v>13</v>
      </c>
    </row>
    <row r="451" spans="2:32" hidden="1" x14ac:dyDescent="0.3">
      <c r="B451">
        <v>27486</v>
      </c>
      <c r="C451">
        <v>2018</v>
      </c>
      <c r="D451">
        <v>1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1</v>
      </c>
      <c r="N451">
        <v>0</v>
      </c>
      <c r="O451">
        <v>1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1</v>
      </c>
      <c r="AD451">
        <v>1</v>
      </c>
      <c r="AE451">
        <v>1</v>
      </c>
      <c r="AF451">
        <f>SUM(q2_raw[[#This Row],[1]:[28]])</f>
        <v>15</v>
      </c>
    </row>
    <row r="452" spans="2:32" hidden="1" x14ac:dyDescent="0.3">
      <c r="B452">
        <v>8741</v>
      </c>
      <c r="C452">
        <v>2018</v>
      </c>
      <c r="D452">
        <v>0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1</v>
      </c>
      <c r="AE452">
        <v>0</v>
      </c>
      <c r="AF452">
        <f>SUM(q2_raw[[#This Row],[1]:[28]])</f>
        <v>9</v>
      </c>
    </row>
    <row r="453" spans="2:32" hidden="1" x14ac:dyDescent="0.3">
      <c r="B453">
        <v>92194</v>
      </c>
      <c r="C453">
        <v>2018</v>
      </c>
      <c r="D453">
        <v>0</v>
      </c>
      <c r="E453">
        <v>0</v>
      </c>
      <c r="F453">
        <v>1</v>
      </c>
      <c r="G453">
        <v>0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1</v>
      </c>
      <c r="Y453">
        <v>1</v>
      </c>
      <c r="Z453">
        <v>0</v>
      </c>
      <c r="AA453">
        <v>1</v>
      </c>
      <c r="AB453">
        <v>0</v>
      </c>
      <c r="AC453">
        <v>1</v>
      </c>
      <c r="AD453">
        <v>0</v>
      </c>
      <c r="AE453">
        <v>1</v>
      </c>
      <c r="AF453">
        <f>SUM(q2_raw[[#This Row],[1]:[28]])</f>
        <v>10</v>
      </c>
    </row>
    <row r="454" spans="2:32" hidden="1" x14ac:dyDescent="0.3">
      <c r="B454">
        <v>91219</v>
      </c>
      <c r="C454">
        <v>2018</v>
      </c>
      <c r="D454">
        <v>1</v>
      </c>
      <c r="E454">
        <v>0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1</v>
      </c>
      <c r="AB454">
        <v>1</v>
      </c>
      <c r="AC454">
        <v>1</v>
      </c>
      <c r="AD454">
        <v>0</v>
      </c>
      <c r="AE454">
        <v>0</v>
      </c>
      <c r="AF454">
        <f>SUM(q2_raw[[#This Row],[1]:[28]])</f>
        <v>11</v>
      </c>
    </row>
    <row r="455" spans="2:32" hidden="1" x14ac:dyDescent="0.3">
      <c r="B455">
        <v>6311</v>
      </c>
      <c r="C455">
        <v>2018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1</v>
      </c>
      <c r="AD455">
        <v>1</v>
      </c>
      <c r="AE455">
        <v>1</v>
      </c>
      <c r="AF455">
        <f>SUM(q2_raw[[#This Row],[1]:[28]])</f>
        <v>14</v>
      </c>
    </row>
    <row r="456" spans="2:32" hidden="1" x14ac:dyDescent="0.3">
      <c r="B456">
        <v>46202</v>
      </c>
      <c r="C456">
        <v>2018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f>SUM(q2_raw[[#This Row],[1]:[28]])</f>
        <v>8</v>
      </c>
    </row>
    <row r="457" spans="2:32" hidden="1" x14ac:dyDescent="0.3">
      <c r="B457">
        <v>97867</v>
      </c>
      <c r="C457">
        <v>2018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1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1</v>
      </c>
      <c r="AB457">
        <v>1</v>
      </c>
      <c r="AC457">
        <v>1</v>
      </c>
      <c r="AD457">
        <v>0</v>
      </c>
      <c r="AE457">
        <v>1</v>
      </c>
      <c r="AF457">
        <f>SUM(q2_raw[[#This Row],[1]:[28]])</f>
        <v>14</v>
      </c>
    </row>
    <row r="458" spans="2:32" hidden="1" x14ac:dyDescent="0.3">
      <c r="B458">
        <v>33836</v>
      </c>
      <c r="C458">
        <v>2018</v>
      </c>
      <c r="D458">
        <v>0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1</v>
      </c>
      <c r="AD458">
        <v>1</v>
      </c>
      <c r="AE458">
        <v>0</v>
      </c>
      <c r="AF458">
        <f>SUM(q2_raw[[#This Row],[1]:[28]])</f>
        <v>8</v>
      </c>
    </row>
    <row r="459" spans="2:32" hidden="1" x14ac:dyDescent="0.3">
      <c r="B459">
        <v>78992</v>
      </c>
      <c r="C459">
        <v>2018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f>SUM(q2_raw[[#This Row],[1]:[28]])</f>
        <v>7</v>
      </c>
    </row>
    <row r="460" spans="2:32" hidden="1" x14ac:dyDescent="0.3">
      <c r="B460">
        <v>82852</v>
      </c>
      <c r="C460">
        <v>2018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1</v>
      </c>
      <c r="M460">
        <v>1</v>
      </c>
      <c r="N460">
        <v>0</v>
      </c>
      <c r="O460">
        <v>1</v>
      </c>
      <c r="P460">
        <v>0</v>
      </c>
      <c r="Q460">
        <v>0</v>
      </c>
      <c r="R460">
        <v>1</v>
      </c>
      <c r="S460">
        <v>0</v>
      </c>
      <c r="T460">
        <v>1</v>
      </c>
      <c r="U460">
        <v>1</v>
      </c>
      <c r="V460">
        <v>1</v>
      </c>
      <c r="W460">
        <v>1</v>
      </c>
      <c r="X460">
        <v>0</v>
      </c>
      <c r="Y460">
        <v>1</v>
      </c>
      <c r="Z460">
        <v>1</v>
      </c>
      <c r="AA460">
        <v>0</v>
      </c>
      <c r="AB460">
        <v>1</v>
      </c>
      <c r="AC460">
        <v>0</v>
      </c>
      <c r="AD460">
        <v>1</v>
      </c>
      <c r="AE460">
        <v>1</v>
      </c>
      <c r="AF460">
        <f>SUM(q2_raw[[#This Row],[1]:[28]])</f>
        <v>16</v>
      </c>
    </row>
    <row r="461" spans="2:32" hidden="1" x14ac:dyDescent="0.3">
      <c r="B461">
        <v>48348</v>
      </c>
      <c r="C461">
        <v>2018</v>
      </c>
      <c r="D461">
        <v>0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1</v>
      </c>
      <c r="AA461">
        <v>0</v>
      </c>
      <c r="AB461">
        <v>1</v>
      </c>
      <c r="AC461">
        <v>1</v>
      </c>
      <c r="AD461">
        <v>0</v>
      </c>
      <c r="AE461">
        <v>1</v>
      </c>
      <c r="AF461">
        <f>SUM(q2_raw[[#This Row],[1]:[28]])</f>
        <v>10</v>
      </c>
    </row>
    <row r="462" spans="2:32" hidden="1" x14ac:dyDescent="0.3">
      <c r="B462">
        <v>34280</v>
      </c>
      <c r="C462">
        <v>2018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1</v>
      </c>
      <c r="AD462">
        <v>1</v>
      </c>
      <c r="AE462">
        <v>0</v>
      </c>
      <c r="AF462">
        <f>SUM(q2_raw[[#This Row],[1]:[28]])</f>
        <v>11</v>
      </c>
    </row>
    <row r="463" spans="2:32" hidden="1" x14ac:dyDescent="0.3">
      <c r="B463">
        <v>1594</v>
      </c>
      <c r="C463">
        <v>2018</v>
      </c>
      <c r="D463">
        <v>1</v>
      </c>
      <c r="E463">
        <v>0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1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1</v>
      </c>
      <c r="AD463">
        <v>1</v>
      </c>
      <c r="AE463">
        <v>0</v>
      </c>
      <c r="AF463">
        <f>SUM(q2_raw[[#This Row],[1]:[28]])</f>
        <v>13</v>
      </c>
    </row>
    <row r="464" spans="2:32" hidden="1" x14ac:dyDescent="0.3">
      <c r="B464">
        <v>99858</v>
      </c>
      <c r="C464">
        <v>2018</v>
      </c>
      <c r="D464">
        <v>1</v>
      </c>
      <c r="E464">
        <v>0</v>
      </c>
      <c r="F464">
        <v>1</v>
      </c>
      <c r="G464">
        <v>0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1</v>
      </c>
      <c r="R464">
        <v>1</v>
      </c>
      <c r="S464">
        <v>0</v>
      </c>
      <c r="T464">
        <v>1</v>
      </c>
      <c r="U464">
        <v>1</v>
      </c>
      <c r="V464">
        <v>0</v>
      </c>
      <c r="W464">
        <v>1</v>
      </c>
      <c r="X464">
        <v>1</v>
      </c>
      <c r="Y464">
        <v>0</v>
      </c>
      <c r="Z464">
        <v>1</v>
      </c>
      <c r="AA464">
        <v>1</v>
      </c>
      <c r="AB464">
        <v>0</v>
      </c>
      <c r="AC464">
        <v>0</v>
      </c>
      <c r="AD464">
        <v>0</v>
      </c>
      <c r="AE464">
        <v>1</v>
      </c>
      <c r="AF464">
        <f>SUM(q2_raw[[#This Row],[1]:[28]])</f>
        <v>15</v>
      </c>
    </row>
    <row r="465" spans="2:32" hidden="1" x14ac:dyDescent="0.3">
      <c r="B465">
        <v>64209</v>
      </c>
      <c r="C465">
        <v>2018</v>
      </c>
      <c r="D465">
        <v>1</v>
      </c>
      <c r="E465">
        <v>1</v>
      </c>
      <c r="F465">
        <v>1</v>
      </c>
      <c r="G465">
        <v>0</v>
      </c>
      <c r="H465">
        <v>1</v>
      </c>
      <c r="I465">
        <v>1</v>
      </c>
      <c r="J465">
        <v>0</v>
      </c>
      <c r="K465">
        <v>1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1</v>
      </c>
      <c r="AC465">
        <v>0</v>
      </c>
      <c r="AD465">
        <v>0</v>
      </c>
      <c r="AE465">
        <v>1</v>
      </c>
      <c r="AF465">
        <f>SUM(q2_raw[[#This Row],[1]:[28]])</f>
        <v>14</v>
      </c>
    </row>
    <row r="466" spans="2:32" hidden="1" x14ac:dyDescent="0.3">
      <c r="B466">
        <v>16988</v>
      </c>
      <c r="C466">
        <v>2018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0</v>
      </c>
      <c r="J466">
        <v>1</v>
      </c>
      <c r="K466">
        <v>0</v>
      </c>
      <c r="L466">
        <v>1</v>
      </c>
      <c r="M466">
        <v>1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1</v>
      </c>
      <c r="AA466">
        <v>0</v>
      </c>
      <c r="AB466">
        <v>1</v>
      </c>
      <c r="AC466">
        <v>0</v>
      </c>
      <c r="AD466">
        <v>1</v>
      </c>
      <c r="AE466">
        <v>1</v>
      </c>
      <c r="AF466">
        <f>SUM(q2_raw[[#This Row],[1]:[28]])</f>
        <v>15</v>
      </c>
    </row>
    <row r="467" spans="2:32" hidden="1" x14ac:dyDescent="0.3">
      <c r="B467">
        <v>14595</v>
      </c>
      <c r="C467">
        <v>2018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1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1</v>
      </c>
      <c r="R467">
        <v>1</v>
      </c>
      <c r="S467">
        <v>0</v>
      </c>
      <c r="T467">
        <v>1</v>
      </c>
      <c r="U467">
        <v>1</v>
      </c>
      <c r="V467">
        <v>1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f>SUM(q2_raw[[#This Row],[1]:[28]])</f>
        <v>14</v>
      </c>
    </row>
    <row r="468" spans="2:32" hidden="1" x14ac:dyDescent="0.3">
      <c r="B468">
        <v>55565</v>
      </c>
      <c r="C468">
        <v>2018</v>
      </c>
      <c r="D468">
        <v>0</v>
      </c>
      <c r="E468">
        <v>0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0</v>
      </c>
      <c r="L468">
        <v>1</v>
      </c>
      <c r="M468">
        <v>1</v>
      </c>
      <c r="N468">
        <v>0</v>
      </c>
      <c r="O468">
        <v>0</v>
      </c>
      <c r="P468">
        <v>1</v>
      </c>
      <c r="Q468">
        <v>1</v>
      </c>
      <c r="R468">
        <v>1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1</v>
      </c>
      <c r="Y468">
        <v>0</v>
      </c>
      <c r="Z468">
        <v>1</v>
      </c>
      <c r="AA468">
        <v>0</v>
      </c>
      <c r="AB468">
        <v>1</v>
      </c>
      <c r="AC468">
        <v>1</v>
      </c>
      <c r="AD468">
        <v>0</v>
      </c>
      <c r="AE468">
        <v>0</v>
      </c>
      <c r="AF468">
        <f>SUM(q2_raw[[#This Row],[1]:[28]])</f>
        <v>16</v>
      </c>
    </row>
    <row r="469" spans="2:32" hidden="1" x14ac:dyDescent="0.3">
      <c r="B469">
        <v>78799</v>
      </c>
      <c r="C469">
        <v>2018</v>
      </c>
      <c r="D469">
        <v>1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0</v>
      </c>
      <c r="V469">
        <v>1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1</v>
      </c>
      <c r="AF469">
        <f>SUM(q2_raw[[#This Row],[1]:[28]])</f>
        <v>16</v>
      </c>
    </row>
    <row r="470" spans="2:32" hidden="1" x14ac:dyDescent="0.3">
      <c r="B470">
        <v>14914</v>
      </c>
      <c r="C470">
        <v>2018</v>
      </c>
      <c r="D470">
        <v>1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1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1</v>
      </c>
      <c r="AB470">
        <v>1</v>
      </c>
      <c r="AC470">
        <v>0</v>
      </c>
      <c r="AD470">
        <v>1</v>
      </c>
      <c r="AE470">
        <v>1</v>
      </c>
      <c r="AF470">
        <f>SUM(q2_raw[[#This Row],[1]:[28]])</f>
        <v>12</v>
      </c>
    </row>
    <row r="471" spans="2:32" hidden="1" x14ac:dyDescent="0.3">
      <c r="B471">
        <v>63761</v>
      </c>
      <c r="C471">
        <v>2018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0</v>
      </c>
      <c r="AB471">
        <v>1</v>
      </c>
      <c r="AC471">
        <v>1</v>
      </c>
      <c r="AD471">
        <v>0</v>
      </c>
      <c r="AE471">
        <v>0</v>
      </c>
      <c r="AF471">
        <f>SUM(q2_raw[[#This Row],[1]:[28]])</f>
        <v>13</v>
      </c>
    </row>
    <row r="472" spans="2:32" hidden="1" x14ac:dyDescent="0.3">
      <c r="B472">
        <v>30949</v>
      </c>
      <c r="C472">
        <v>2018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1</v>
      </c>
      <c r="N472">
        <v>0</v>
      </c>
      <c r="O472">
        <v>1</v>
      </c>
      <c r="P472">
        <v>0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1</v>
      </c>
      <c r="AB472">
        <v>0</v>
      </c>
      <c r="AC472">
        <v>0</v>
      </c>
      <c r="AD472">
        <v>1</v>
      </c>
      <c r="AE472">
        <v>1</v>
      </c>
      <c r="AF472">
        <f>SUM(q2_raw[[#This Row],[1]:[28]])</f>
        <v>13</v>
      </c>
    </row>
    <row r="473" spans="2:32" hidden="1" x14ac:dyDescent="0.3">
      <c r="B473">
        <v>78728</v>
      </c>
      <c r="C473">
        <v>2018</v>
      </c>
      <c r="D473">
        <v>1</v>
      </c>
      <c r="E473">
        <v>0</v>
      </c>
      <c r="F473">
        <v>0</v>
      </c>
      <c r="G473">
        <v>1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1</v>
      </c>
      <c r="O473">
        <v>0</v>
      </c>
      <c r="P473">
        <v>1</v>
      </c>
      <c r="Q473">
        <v>1</v>
      </c>
      <c r="R473">
        <v>0</v>
      </c>
      <c r="S473">
        <v>0</v>
      </c>
      <c r="T473">
        <v>1</v>
      </c>
      <c r="U473">
        <v>1</v>
      </c>
      <c r="V473">
        <v>0</v>
      </c>
      <c r="W473">
        <v>0</v>
      </c>
      <c r="X473">
        <v>1</v>
      </c>
      <c r="Y473">
        <v>1</v>
      </c>
      <c r="Z473">
        <v>1</v>
      </c>
      <c r="AA473">
        <v>0</v>
      </c>
      <c r="AB473">
        <v>1</v>
      </c>
      <c r="AC473">
        <v>1</v>
      </c>
      <c r="AD473">
        <v>0</v>
      </c>
      <c r="AE473">
        <v>1</v>
      </c>
      <c r="AF473">
        <f>SUM(q2_raw[[#This Row],[1]:[28]])</f>
        <v>16</v>
      </c>
    </row>
    <row r="474" spans="2:32" hidden="1" x14ac:dyDescent="0.3">
      <c r="B474">
        <v>18626</v>
      </c>
      <c r="C474">
        <v>2018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f>SUM(q2_raw[[#This Row],[1]:[28]])</f>
        <v>7</v>
      </c>
    </row>
    <row r="475" spans="2:32" hidden="1" x14ac:dyDescent="0.3">
      <c r="B475">
        <v>1135</v>
      </c>
      <c r="C475">
        <v>2018</v>
      </c>
      <c r="D475">
        <v>0</v>
      </c>
      <c r="E475">
        <v>0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1</v>
      </c>
      <c r="AC475">
        <v>0</v>
      </c>
      <c r="AD475">
        <v>0</v>
      </c>
      <c r="AE475">
        <v>1</v>
      </c>
      <c r="AF475">
        <f>SUM(q2_raw[[#This Row],[1]:[28]])</f>
        <v>11</v>
      </c>
    </row>
    <row r="476" spans="2:32" hidden="1" x14ac:dyDescent="0.3">
      <c r="B476">
        <v>23751</v>
      </c>
      <c r="C476">
        <v>2018</v>
      </c>
      <c r="D476">
        <v>0</v>
      </c>
      <c r="E476">
        <v>1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1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f>SUM(q2_raw[[#This Row],[1]:[28]])</f>
        <v>9</v>
      </c>
    </row>
    <row r="477" spans="2:32" hidden="1" x14ac:dyDescent="0.3">
      <c r="B477">
        <v>6998</v>
      </c>
      <c r="C477">
        <v>2018</v>
      </c>
      <c r="D477">
        <v>0</v>
      </c>
      <c r="E477">
        <v>1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1</v>
      </c>
      <c r="AA477">
        <v>0</v>
      </c>
      <c r="AB477">
        <v>0</v>
      </c>
      <c r="AC477">
        <v>1</v>
      </c>
      <c r="AD477">
        <v>1</v>
      </c>
      <c r="AE477">
        <v>0</v>
      </c>
      <c r="AF477">
        <f>SUM(q2_raw[[#This Row],[1]:[28]])</f>
        <v>12</v>
      </c>
    </row>
    <row r="478" spans="2:32" hidden="1" x14ac:dyDescent="0.3">
      <c r="B478">
        <v>13255</v>
      </c>
      <c r="C478">
        <v>2018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1</v>
      </c>
      <c r="S478">
        <v>0</v>
      </c>
      <c r="T478">
        <v>1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1</v>
      </c>
      <c r="AA478">
        <v>1</v>
      </c>
      <c r="AB478">
        <v>1</v>
      </c>
      <c r="AC478">
        <v>0</v>
      </c>
      <c r="AD478">
        <v>1</v>
      </c>
      <c r="AE478">
        <v>0</v>
      </c>
      <c r="AF478">
        <f>SUM(q2_raw[[#This Row],[1]:[28]])</f>
        <v>12</v>
      </c>
    </row>
    <row r="479" spans="2:32" hidden="1" x14ac:dyDescent="0.3">
      <c r="B479">
        <v>48025</v>
      </c>
      <c r="C479">
        <v>2018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0</v>
      </c>
      <c r="U479">
        <v>1</v>
      </c>
      <c r="V479">
        <v>1</v>
      </c>
      <c r="W479">
        <v>0</v>
      </c>
      <c r="X479">
        <v>1</v>
      </c>
      <c r="Y479">
        <v>0</v>
      </c>
      <c r="Z479">
        <v>0</v>
      </c>
      <c r="AA479">
        <v>1</v>
      </c>
      <c r="AB479">
        <v>1</v>
      </c>
      <c r="AC479">
        <v>0</v>
      </c>
      <c r="AD479">
        <v>1</v>
      </c>
      <c r="AE479">
        <v>0</v>
      </c>
      <c r="AF479">
        <f>SUM(q2_raw[[#This Row],[1]:[28]])</f>
        <v>14</v>
      </c>
    </row>
    <row r="480" spans="2:32" hidden="1" x14ac:dyDescent="0.3">
      <c r="B480">
        <v>42795</v>
      </c>
      <c r="C480">
        <v>2018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1</v>
      </c>
      <c r="S480">
        <v>0</v>
      </c>
      <c r="T480">
        <v>1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f>SUM(q2_raw[[#This Row],[1]:[28]])</f>
        <v>9</v>
      </c>
    </row>
    <row r="481" spans="2:32" hidden="1" x14ac:dyDescent="0.3">
      <c r="B481">
        <v>26653</v>
      </c>
      <c r="C481">
        <v>2018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0</v>
      </c>
      <c r="T481">
        <v>1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f>SUM(q2_raw[[#This Row],[1]:[28]])</f>
        <v>6</v>
      </c>
    </row>
    <row r="482" spans="2:32" hidden="1" x14ac:dyDescent="0.3">
      <c r="B482">
        <v>8070</v>
      </c>
      <c r="C482">
        <v>2018</v>
      </c>
      <c r="D482">
        <v>0</v>
      </c>
      <c r="E482">
        <v>0</v>
      </c>
      <c r="F482">
        <v>0</v>
      </c>
      <c r="G482">
        <v>1</v>
      </c>
      <c r="H482">
        <v>1</v>
      </c>
      <c r="I482">
        <v>1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1</v>
      </c>
      <c r="Y482">
        <v>0</v>
      </c>
      <c r="Z482">
        <v>0</v>
      </c>
      <c r="AA482">
        <v>1</v>
      </c>
      <c r="AB482">
        <v>0</v>
      </c>
      <c r="AC482">
        <v>1</v>
      </c>
      <c r="AD482">
        <v>0</v>
      </c>
      <c r="AE482">
        <v>0</v>
      </c>
      <c r="AF482">
        <f>SUM(q2_raw[[#This Row],[1]:[28]])</f>
        <v>9</v>
      </c>
    </row>
    <row r="483" spans="2:32" hidden="1" x14ac:dyDescent="0.3">
      <c r="B483">
        <v>14761</v>
      </c>
      <c r="C483">
        <v>2018</v>
      </c>
      <c r="D483">
        <v>1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1</v>
      </c>
      <c r="S483">
        <v>1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</v>
      </c>
      <c r="AF483">
        <f>SUM(q2_raw[[#This Row],[1]:[28]])</f>
        <v>11</v>
      </c>
    </row>
    <row r="484" spans="2:32" hidden="1" x14ac:dyDescent="0.3">
      <c r="B484">
        <v>29210</v>
      </c>
      <c r="C484">
        <v>2018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1</v>
      </c>
      <c r="U484">
        <v>1</v>
      </c>
      <c r="V484">
        <v>1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1</v>
      </c>
      <c r="AD484">
        <v>1</v>
      </c>
      <c r="AE484">
        <v>1</v>
      </c>
      <c r="AF484">
        <f>SUM(q2_raw[[#This Row],[1]:[28]])</f>
        <v>14</v>
      </c>
    </row>
    <row r="485" spans="2:32" hidden="1" x14ac:dyDescent="0.3">
      <c r="B485">
        <v>67885</v>
      </c>
      <c r="C485">
        <v>2018</v>
      </c>
      <c r="D485">
        <v>0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f>SUM(q2_raw[[#This Row],[1]:[28]])</f>
        <v>10</v>
      </c>
    </row>
    <row r="486" spans="2:32" hidden="1" x14ac:dyDescent="0.3">
      <c r="B486">
        <v>7809</v>
      </c>
      <c r="C486">
        <v>2018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f>SUM(q2_raw[[#This Row],[1]:[28]])</f>
        <v>8</v>
      </c>
    </row>
    <row r="487" spans="2:32" hidden="1" x14ac:dyDescent="0.3">
      <c r="B487">
        <v>70936</v>
      </c>
      <c r="C487">
        <v>2018</v>
      </c>
      <c r="D487">
        <v>1</v>
      </c>
      <c r="E487">
        <v>1</v>
      </c>
      <c r="F487">
        <v>1</v>
      </c>
      <c r="G487">
        <v>0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1</v>
      </c>
      <c r="AF487">
        <f>SUM(q2_raw[[#This Row],[1]:[28]])</f>
        <v>9</v>
      </c>
    </row>
    <row r="488" spans="2:32" hidden="1" x14ac:dyDescent="0.3">
      <c r="B488">
        <v>50211</v>
      </c>
      <c r="C488">
        <v>2018</v>
      </c>
      <c r="D488">
        <v>1</v>
      </c>
      <c r="E488">
        <v>0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</v>
      </c>
      <c r="AC488">
        <v>1</v>
      </c>
      <c r="AD488">
        <v>1</v>
      </c>
      <c r="AE488">
        <v>0</v>
      </c>
      <c r="AF488">
        <f>SUM(q2_raw[[#This Row],[1]:[28]])</f>
        <v>13</v>
      </c>
    </row>
    <row r="489" spans="2:32" hidden="1" x14ac:dyDescent="0.3">
      <c r="B489">
        <v>20112</v>
      </c>
      <c r="C489">
        <v>2018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1</v>
      </c>
      <c r="P489">
        <v>1</v>
      </c>
      <c r="Q489">
        <v>0</v>
      </c>
      <c r="R489">
        <v>1</v>
      </c>
      <c r="S489">
        <v>1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f>SUM(q2_raw[[#This Row],[1]:[28]])</f>
        <v>9</v>
      </c>
    </row>
    <row r="490" spans="2:32" hidden="1" x14ac:dyDescent="0.3">
      <c r="B490">
        <v>98843</v>
      </c>
      <c r="C490">
        <v>2018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1</v>
      </c>
      <c r="AE490">
        <v>1</v>
      </c>
      <c r="AF490">
        <f>SUM(q2_raw[[#This Row],[1]:[28]])</f>
        <v>12</v>
      </c>
    </row>
    <row r="491" spans="2:32" hidden="1" x14ac:dyDescent="0.3">
      <c r="B491">
        <v>74334</v>
      </c>
      <c r="C491">
        <v>2018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1</v>
      </c>
      <c r="K491">
        <v>0</v>
      </c>
      <c r="L491">
        <v>1</v>
      </c>
      <c r="M491">
        <v>0</v>
      </c>
      <c r="N491">
        <v>1</v>
      </c>
      <c r="O491">
        <v>1</v>
      </c>
      <c r="P491">
        <v>1</v>
      </c>
      <c r="Q491">
        <v>1</v>
      </c>
      <c r="R491">
        <v>0</v>
      </c>
      <c r="S491">
        <v>0</v>
      </c>
      <c r="T491">
        <v>1</v>
      </c>
      <c r="U491">
        <v>1</v>
      </c>
      <c r="V491">
        <v>1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1</v>
      </c>
      <c r="AD491">
        <v>1</v>
      </c>
      <c r="AE491">
        <v>1</v>
      </c>
      <c r="AF491">
        <f>SUM(q2_raw[[#This Row],[1]:[28]])</f>
        <v>15</v>
      </c>
    </row>
    <row r="492" spans="2:32" hidden="1" x14ac:dyDescent="0.3">
      <c r="B492">
        <v>78320</v>
      </c>
      <c r="C492">
        <v>2018</v>
      </c>
      <c r="D492">
        <v>1</v>
      </c>
      <c r="E492">
        <v>0</v>
      </c>
      <c r="F492">
        <v>1</v>
      </c>
      <c r="G492">
        <v>1</v>
      </c>
      <c r="H492">
        <v>0</v>
      </c>
      <c r="I492">
        <v>0</v>
      </c>
      <c r="J492">
        <v>1</v>
      </c>
      <c r="K492">
        <v>1</v>
      </c>
      <c r="L492">
        <v>1</v>
      </c>
      <c r="M492">
        <v>0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1</v>
      </c>
      <c r="AD492">
        <v>1</v>
      </c>
      <c r="AE492">
        <v>1</v>
      </c>
      <c r="AF492">
        <f>SUM(q2_raw[[#This Row],[1]:[28]])</f>
        <v>14</v>
      </c>
    </row>
    <row r="493" spans="2:32" hidden="1" x14ac:dyDescent="0.3">
      <c r="B493">
        <v>47437</v>
      </c>
      <c r="C493">
        <v>2018</v>
      </c>
      <c r="D493">
        <v>1</v>
      </c>
      <c r="E493">
        <v>0</v>
      </c>
      <c r="F493">
        <v>0</v>
      </c>
      <c r="G493">
        <v>1</v>
      </c>
      <c r="H493">
        <v>1</v>
      </c>
      <c r="I493">
        <v>1</v>
      </c>
      <c r="J493">
        <v>0</v>
      </c>
      <c r="K493">
        <v>1</v>
      </c>
      <c r="L493">
        <v>1</v>
      </c>
      <c r="M493">
        <v>1</v>
      </c>
      <c r="N493">
        <v>1</v>
      </c>
      <c r="O493">
        <v>0</v>
      </c>
      <c r="P493">
        <v>1</v>
      </c>
      <c r="Q493">
        <v>1</v>
      </c>
      <c r="R493">
        <v>1</v>
      </c>
      <c r="S493">
        <v>0</v>
      </c>
      <c r="T493">
        <v>1</v>
      </c>
      <c r="U493">
        <v>1</v>
      </c>
      <c r="V493">
        <v>1</v>
      </c>
      <c r="W493">
        <v>0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0</v>
      </c>
      <c r="AD493">
        <v>1</v>
      </c>
      <c r="AE493">
        <v>0</v>
      </c>
      <c r="AF493">
        <f>SUM(q2_raw[[#This Row],[1]:[28]])</f>
        <v>20</v>
      </c>
    </row>
    <row r="494" spans="2:32" hidden="1" x14ac:dyDescent="0.3">
      <c r="B494">
        <v>55032</v>
      </c>
      <c r="C494">
        <v>2018</v>
      </c>
      <c r="D494">
        <v>0</v>
      </c>
      <c r="E494">
        <v>1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1</v>
      </c>
      <c r="AA494">
        <v>0</v>
      </c>
      <c r="AB494">
        <v>1</v>
      </c>
      <c r="AC494">
        <v>1</v>
      </c>
      <c r="AD494">
        <v>0</v>
      </c>
      <c r="AE494">
        <v>0</v>
      </c>
      <c r="AF494">
        <f>SUM(q2_raw[[#This Row],[1]:[28]])</f>
        <v>13</v>
      </c>
    </row>
    <row r="495" spans="2:32" hidden="1" x14ac:dyDescent="0.3">
      <c r="B495">
        <v>40454</v>
      </c>
      <c r="C495">
        <v>2018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1</v>
      </c>
      <c r="S495">
        <v>1</v>
      </c>
      <c r="T495">
        <v>1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f>SUM(q2_raw[[#This Row],[1]:[28]])</f>
        <v>11</v>
      </c>
    </row>
    <row r="496" spans="2:32" hidden="1" x14ac:dyDescent="0.3">
      <c r="B496">
        <v>1401</v>
      </c>
      <c r="C496">
        <v>2018</v>
      </c>
      <c r="D496">
        <v>1</v>
      </c>
      <c r="E496">
        <v>1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1</v>
      </c>
      <c r="M496">
        <v>1</v>
      </c>
      <c r="N496">
        <v>0</v>
      </c>
      <c r="O496">
        <v>1</v>
      </c>
      <c r="P496">
        <v>0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1</v>
      </c>
      <c r="AB496">
        <v>1</v>
      </c>
      <c r="AC496">
        <v>0</v>
      </c>
      <c r="AD496">
        <v>1</v>
      </c>
      <c r="AE496">
        <v>1</v>
      </c>
      <c r="AF496">
        <f>SUM(q2_raw[[#This Row],[1]:[28]])</f>
        <v>15</v>
      </c>
    </row>
    <row r="497" spans="2:32" hidden="1" x14ac:dyDescent="0.3">
      <c r="B497">
        <v>25599</v>
      </c>
      <c r="C497">
        <v>2018</v>
      </c>
      <c r="D497">
        <v>0</v>
      </c>
      <c r="E497">
        <v>0</v>
      </c>
      <c r="F497">
        <v>1</v>
      </c>
      <c r="G497">
        <v>0</v>
      </c>
      <c r="H497">
        <v>1</v>
      </c>
      <c r="I497">
        <v>1</v>
      </c>
      <c r="J497">
        <v>1</v>
      </c>
      <c r="K497">
        <v>0</v>
      </c>
      <c r="L497">
        <v>0</v>
      </c>
      <c r="M497">
        <v>1</v>
      </c>
      <c r="N497">
        <v>1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f>SUM(q2_raw[[#This Row],[1]:[28]])</f>
        <v>16</v>
      </c>
    </row>
    <row r="498" spans="2:32" hidden="1" x14ac:dyDescent="0.3">
      <c r="B498">
        <v>45883</v>
      </c>
      <c r="C498">
        <v>2018</v>
      </c>
      <c r="D498">
        <v>1</v>
      </c>
      <c r="E498">
        <v>0</v>
      </c>
      <c r="F498">
        <v>0</v>
      </c>
      <c r="G498">
        <v>1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1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f>SUM(q2_raw[[#This Row],[1]:[28]])</f>
        <v>11</v>
      </c>
    </row>
    <row r="499" spans="2:32" hidden="1" x14ac:dyDescent="0.3">
      <c r="B499">
        <v>82274</v>
      </c>
      <c r="C499">
        <v>2018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1</v>
      </c>
      <c r="J499">
        <v>1</v>
      </c>
      <c r="K499">
        <v>1</v>
      </c>
      <c r="L499">
        <v>0</v>
      </c>
      <c r="M499">
        <v>1</v>
      </c>
      <c r="N499">
        <v>0</v>
      </c>
      <c r="O499">
        <v>0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f>SUM(q2_raw[[#This Row],[1]:[28]])</f>
        <v>11</v>
      </c>
    </row>
    <row r="500" spans="2:32" hidden="1" x14ac:dyDescent="0.3">
      <c r="B500">
        <v>83078</v>
      </c>
      <c r="C500">
        <v>2018</v>
      </c>
      <c r="D500">
        <v>0</v>
      </c>
      <c r="E500">
        <v>0</v>
      </c>
      <c r="F500">
        <v>1</v>
      </c>
      <c r="G500">
        <v>1</v>
      </c>
      <c r="H500">
        <v>0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1</v>
      </c>
      <c r="AA500">
        <v>1</v>
      </c>
      <c r="AB500">
        <v>0</v>
      </c>
      <c r="AC500">
        <v>1</v>
      </c>
      <c r="AD500">
        <v>0</v>
      </c>
      <c r="AE500">
        <v>1</v>
      </c>
      <c r="AF500">
        <f>SUM(q2_raw[[#This Row],[1]:[28]])</f>
        <v>14</v>
      </c>
    </row>
    <row r="501" spans="2:32" hidden="1" x14ac:dyDescent="0.3">
      <c r="B501">
        <v>70899</v>
      </c>
      <c r="C501">
        <v>2018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1</v>
      </c>
      <c r="AB501">
        <v>0</v>
      </c>
      <c r="AC501">
        <v>1</v>
      </c>
      <c r="AD501">
        <v>0</v>
      </c>
      <c r="AE501">
        <v>1</v>
      </c>
      <c r="AF501">
        <f>SUM(q2_raw[[#This Row],[1]:[28]])</f>
        <v>12</v>
      </c>
    </row>
    <row r="502" spans="2:32" hidden="1" x14ac:dyDescent="0.3">
      <c r="B502">
        <v>82084</v>
      </c>
      <c r="C502">
        <v>2018</v>
      </c>
      <c r="D502">
        <v>1</v>
      </c>
      <c r="E502">
        <v>0</v>
      </c>
      <c r="F502">
        <v>1</v>
      </c>
      <c r="G502">
        <v>0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0</v>
      </c>
      <c r="AD502">
        <v>0</v>
      </c>
      <c r="AE502">
        <v>1</v>
      </c>
      <c r="AF502">
        <f>SUM(q2_raw[[#This Row],[1]:[28]])</f>
        <v>16</v>
      </c>
    </row>
    <row r="503" spans="2:32" hidden="1" x14ac:dyDescent="0.3">
      <c r="B503">
        <v>86210</v>
      </c>
      <c r="C503">
        <v>2018</v>
      </c>
      <c r="D503">
        <v>1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1</v>
      </c>
      <c r="S503">
        <v>0</v>
      </c>
      <c r="T503">
        <v>1</v>
      </c>
      <c r="U503">
        <v>0</v>
      </c>
      <c r="V503">
        <v>1</v>
      </c>
      <c r="W503">
        <v>1</v>
      </c>
      <c r="X503">
        <v>1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f>SUM(q2_raw[[#This Row],[1]:[28]])</f>
        <v>13</v>
      </c>
    </row>
    <row r="504" spans="2:32" hidden="1" x14ac:dyDescent="0.3">
      <c r="B504">
        <v>3925</v>
      </c>
      <c r="C504">
        <v>2018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0</v>
      </c>
      <c r="J504">
        <v>1</v>
      </c>
      <c r="K504">
        <v>0</v>
      </c>
      <c r="L504">
        <v>0</v>
      </c>
      <c r="M504">
        <v>1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1</v>
      </c>
      <c r="Z504">
        <v>1</v>
      </c>
      <c r="AA504">
        <v>1</v>
      </c>
      <c r="AB504">
        <v>1</v>
      </c>
      <c r="AC504">
        <v>0</v>
      </c>
      <c r="AD504">
        <v>0</v>
      </c>
      <c r="AE504">
        <v>0</v>
      </c>
      <c r="AF504">
        <f>SUM(q2_raw[[#This Row],[1]:[28]])</f>
        <v>13</v>
      </c>
    </row>
    <row r="505" spans="2:32" hidden="1" x14ac:dyDescent="0.3">
      <c r="B505">
        <v>11150</v>
      </c>
      <c r="C505">
        <v>2018</v>
      </c>
      <c r="D505">
        <v>1</v>
      </c>
      <c r="E505">
        <v>0</v>
      </c>
      <c r="F505">
        <v>1</v>
      </c>
      <c r="G505">
        <v>1</v>
      </c>
      <c r="H505">
        <v>1</v>
      </c>
      <c r="I505">
        <v>0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1</v>
      </c>
      <c r="AC505">
        <v>1</v>
      </c>
      <c r="AD505">
        <v>1</v>
      </c>
      <c r="AE505">
        <v>0</v>
      </c>
      <c r="AF505">
        <f>SUM(q2_raw[[#This Row],[1]:[28]])</f>
        <v>12</v>
      </c>
    </row>
    <row r="506" spans="2:32" hidden="1" x14ac:dyDescent="0.3">
      <c r="B506">
        <v>254</v>
      </c>
      <c r="C506">
        <v>2018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1</v>
      </c>
      <c r="P506">
        <v>0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f>SUM(q2_raw[[#This Row],[1]:[28]])</f>
        <v>9</v>
      </c>
    </row>
    <row r="507" spans="2:32" hidden="1" x14ac:dyDescent="0.3">
      <c r="B507">
        <v>34140</v>
      </c>
      <c r="C507">
        <v>2018</v>
      </c>
      <c r="D507">
        <v>1</v>
      </c>
      <c r="E507">
        <v>1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1</v>
      </c>
      <c r="P507">
        <v>1</v>
      </c>
      <c r="Q507">
        <v>0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0</v>
      </c>
      <c r="X507">
        <v>1</v>
      </c>
      <c r="Y507">
        <v>1</v>
      </c>
      <c r="Z507">
        <v>1</v>
      </c>
      <c r="AA507">
        <v>1</v>
      </c>
      <c r="AB507">
        <v>0</v>
      </c>
      <c r="AC507">
        <v>1</v>
      </c>
      <c r="AD507">
        <v>0</v>
      </c>
      <c r="AE507">
        <v>1</v>
      </c>
      <c r="AF507">
        <f>SUM(q2_raw[[#This Row],[1]:[28]])</f>
        <v>17</v>
      </c>
    </row>
    <row r="508" spans="2:32" hidden="1" x14ac:dyDescent="0.3">
      <c r="B508">
        <v>27098</v>
      </c>
      <c r="C508">
        <v>2018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1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1</v>
      </c>
      <c r="AF508">
        <f>SUM(q2_raw[[#This Row],[1]:[28]])</f>
        <v>8</v>
      </c>
    </row>
    <row r="509" spans="2:32" hidden="1" x14ac:dyDescent="0.3">
      <c r="B509">
        <v>87771</v>
      </c>
      <c r="C509">
        <v>2018</v>
      </c>
      <c r="D509">
        <v>0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1</v>
      </c>
      <c r="R509">
        <v>1</v>
      </c>
      <c r="S509">
        <v>0</v>
      </c>
      <c r="T509">
        <v>1</v>
      </c>
      <c r="U509">
        <v>0</v>
      </c>
      <c r="V509">
        <v>1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1</v>
      </c>
      <c r="AF509">
        <f>SUM(q2_raw[[#This Row],[1]:[28]])</f>
        <v>11</v>
      </c>
    </row>
    <row r="510" spans="2:32" hidden="1" x14ac:dyDescent="0.3">
      <c r="B510">
        <v>83784</v>
      </c>
      <c r="C510">
        <v>2018</v>
      </c>
      <c r="D510">
        <v>1</v>
      </c>
      <c r="E510">
        <v>1</v>
      </c>
      <c r="F510">
        <v>1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1</v>
      </c>
      <c r="R510">
        <v>1</v>
      </c>
      <c r="S510">
        <v>1</v>
      </c>
      <c r="T510">
        <v>1</v>
      </c>
      <c r="U510">
        <v>0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f>SUM(q2_raw[[#This Row],[1]:[28]])</f>
        <v>13</v>
      </c>
    </row>
    <row r="511" spans="2:32" hidden="1" x14ac:dyDescent="0.3">
      <c r="B511">
        <v>27373</v>
      </c>
      <c r="C511">
        <v>2018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</v>
      </c>
      <c r="N511">
        <v>0</v>
      </c>
      <c r="O511">
        <v>0</v>
      </c>
      <c r="P511">
        <v>1</v>
      </c>
      <c r="Q511">
        <v>1</v>
      </c>
      <c r="R511">
        <v>0</v>
      </c>
      <c r="S511">
        <v>1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1</v>
      </c>
      <c r="AD511">
        <v>0</v>
      </c>
      <c r="AE511">
        <v>0</v>
      </c>
      <c r="AF511">
        <f>SUM(q2_raw[[#This Row],[1]:[28]])</f>
        <v>10</v>
      </c>
    </row>
    <row r="512" spans="2:32" hidden="1" x14ac:dyDescent="0.3">
      <c r="B512">
        <v>65113</v>
      </c>
      <c r="C512">
        <v>2018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0</v>
      </c>
      <c r="J512">
        <v>1</v>
      </c>
      <c r="K512">
        <v>1</v>
      </c>
      <c r="L512">
        <v>0</v>
      </c>
      <c r="M512">
        <v>0</v>
      </c>
      <c r="N512">
        <v>1</v>
      </c>
      <c r="O512">
        <v>1</v>
      </c>
      <c r="P512">
        <v>0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1</v>
      </c>
      <c r="AE512">
        <v>1</v>
      </c>
      <c r="AF512">
        <f>SUM(q2_raw[[#This Row],[1]:[28]])</f>
        <v>12</v>
      </c>
    </row>
    <row r="513" spans="2:32" hidden="1" x14ac:dyDescent="0.3">
      <c r="B513">
        <v>44570</v>
      </c>
      <c r="C513">
        <v>2018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1</v>
      </c>
      <c r="P513">
        <v>1</v>
      </c>
      <c r="Q513">
        <v>1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0</v>
      </c>
      <c r="AD513">
        <v>0</v>
      </c>
      <c r="AE513">
        <v>0</v>
      </c>
      <c r="AF513">
        <f>SUM(q2_raw[[#This Row],[1]:[28]])</f>
        <v>12</v>
      </c>
    </row>
    <row r="514" spans="2:32" hidden="1" x14ac:dyDescent="0.3">
      <c r="B514">
        <v>93363</v>
      </c>
      <c r="C514">
        <v>2018</v>
      </c>
      <c r="D514">
        <v>0</v>
      </c>
      <c r="E514">
        <v>1</v>
      </c>
      <c r="F514">
        <v>0</v>
      </c>
      <c r="G514">
        <v>1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1</v>
      </c>
      <c r="AB514">
        <v>0</v>
      </c>
      <c r="AC514">
        <v>1</v>
      </c>
      <c r="AD514">
        <v>0</v>
      </c>
      <c r="AE514">
        <v>0</v>
      </c>
      <c r="AF514">
        <f>SUM(q2_raw[[#This Row],[1]:[28]])</f>
        <v>8</v>
      </c>
    </row>
    <row r="515" spans="2:32" hidden="1" x14ac:dyDescent="0.3">
      <c r="B515">
        <v>21374</v>
      </c>
      <c r="C515">
        <v>2018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1</v>
      </c>
      <c r="N515">
        <v>1</v>
      </c>
      <c r="O515">
        <v>0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f>SUM(q2_raw[[#This Row],[1]:[28]])</f>
        <v>16</v>
      </c>
    </row>
    <row r="516" spans="2:32" hidden="1" x14ac:dyDescent="0.3">
      <c r="B516">
        <v>33837</v>
      </c>
      <c r="C516">
        <v>2018</v>
      </c>
      <c r="D516">
        <v>0</v>
      </c>
      <c r="E516">
        <v>0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1</v>
      </c>
      <c r="T516">
        <v>0</v>
      </c>
      <c r="U516">
        <v>1</v>
      </c>
      <c r="V516">
        <v>1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f>SUM(q2_raw[[#This Row],[1]:[28]])</f>
        <v>13</v>
      </c>
    </row>
    <row r="517" spans="2:32" hidden="1" x14ac:dyDescent="0.3">
      <c r="B517">
        <v>78218</v>
      </c>
      <c r="C517">
        <v>2018</v>
      </c>
      <c r="D517">
        <v>0</v>
      </c>
      <c r="E517">
        <v>0</v>
      </c>
      <c r="F517">
        <v>1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1</v>
      </c>
      <c r="AD517">
        <v>1</v>
      </c>
      <c r="AE517">
        <v>0</v>
      </c>
      <c r="AF517">
        <f>SUM(q2_raw[[#This Row],[1]:[28]])</f>
        <v>8</v>
      </c>
    </row>
    <row r="518" spans="2:32" hidden="1" x14ac:dyDescent="0.3">
      <c r="B518">
        <v>12096</v>
      </c>
      <c r="C518">
        <v>2018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1</v>
      </c>
      <c r="AA518">
        <v>0</v>
      </c>
      <c r="AB518">
        <v>0</v>
      </c>
      <c r="AC518">
        <v>1</v>
      </c>
      <c r="AD518">
        <v>1</v>
      </c>
      <c r="AE518">
        <v>1</v>
      </c>
      <c r="AF518">
        <f>SUM(q2_raw[[#This Row],[1]:[28]])</f>
        <v>12</v>
      </c>
    </row>
    <row r="519" spans="2:32" hidden="1" x14ac:dyDescent="0.3">
      <c r="B519">
        <v>82356</v>
      </c>
      <c r="C519">
        <v>2018</v>
      </c>
      <c r="D519">
        <v>0</v>
      </c>
      <c r="E519">
        <v>1</v>
      </c>
      <c r="F519">
        <v>1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0</v>
      </c>
      <c r="R519">
        <v>1</v>
      </c>
      <c r="S519">
        <v>1</v>
      </c>
      <c r="T519">
        <v>1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f>SUM(q2_raw[[#This Row],[1]:[28]])</f>
        <v>18</v>
      </c>
    </row>
    <row r="520" spans="2:32" hidden="1" x14ac:dyDescent="0.3">
      <c r="B520">
        <v>16993</v>
      </c>
      <c r="C520">
        <v>2018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</v>
      </c>
      <c r="N520">
        <v>1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f>SUM(q2_raw[[#This Row],[1]:[28]])</f>
        <v>13</v>
      </c>
    </row>
    <row r="521" spans="2:32" hidden="1" x14ac:dyDescent="0.3">
      <c r="B521">
        <v>12282</v>
      </c>
      <c r="C521">
        <v>2018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f>SUM(q2_raw[[#This Row],[1]:[28]])</f>
        <v>11</v>
      </c>
    </row>
    <row r="522" spans="2:32" hidden="1" x14ac:dyDescent="0.3">
      <c r="B522">
        <v>15680</v>
      </c>
      <c r="C522">
        <v>2018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1</v>
      </c>
      <c r="AA522">
        <v>1</v>
      </c>
      <c r="AB522">
        <v>1</v>
      </c>
      <c r="AC522">
        <v>1</v>
      </c>
      <c r="AD522">
        <v>0</v>
      </c>
      <c r="AE522">
        <v>0</v>
      </c>
      <c r="AF522">
        <f>SUM(q2_raw[[#This Row],[1]:[28]])</f>
        <v>9</v>
      </c>
    </row>
    <row r="523" spans="2:32" hidden="1" x14ac:dyDescent="0.3">
      <c r="B523">
        <v>32393</v>
      </c>
      <c r="C523">
        <v>2018</v>
      </c>
      <c r="D523">
        <v>0</v>
      </c>
      <c r="E523">
        <v>0</v>
      </c>
      <c r="F523">
        <v>1</v>
      </c>
      <c r="G523">
        <v>0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1</v>
      </c>
      <c r="V523">
        <v>1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  <c r="AE523">
        <v>0</v>
      </c>
      <c r="AF523">
        <f>SUM(q2_raw[[#This Row],[1]:[28]])</f>
        <v>10</v>
      </c>
    </row>
    <row r="524" spans="2:32" hidden="1" x14ac:dyDescent="0.3">
      <c r="B524">
        <v>84865</v>
      </c>
      <c r="C524">
        <v>2018</v>
      </c>
      <c r="D524">
        <v>0</v>
      </c>
      <c r="E524">
        <v>1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1</v>
      </c>
      <c r="U524">
        <v>1</v>
      </c>
      <c r="V524">
        <v>1</v>
      </c>
      <c r="W524">
        <v>0</v>
      </c>
      <c r="X524">
        <v>0</v>
      </c>
      <c r="Y524">
        <v>1</v>
      </c>
      <c r="Z524">
        <v>0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f>SUM(q2_raw[[#This Row],[1]:[28]])</f>
        <v>17</v>
      </c>
    </row>
    <row r="525" spans="2:32" hidden="1" x14ac:dyDescent="0.3">
      <c r="B525">
        <v>31350</v>
      </c>
      <c r="C525">
        <v>2018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1</v>
      </c>
      <c r="U525">
        <v>0</v>
      </c>
      <c r="V525">
        <v>1</v>
      </c>
      <c r="W525">
        <v>0</v>
      </c>
      <c r="X525">
        <v>1</v>
      </c>
      <c r="Y525">
        <v>1</v>
      </c>
      <c r="Z525">
        <v>0</v>
      </c>
      <c r="AA525">
        <v>1</v>
      </c>
      <c r="AB525">
        <v>0</v>
      </c>
      <c r="AC525">
        <v>1</v>
      </c>
      <c r="AD525">
        <v>0</v>
      </c>
      <c r="AE525">
        <v>1</v>
      </c>
      <c r="AF525">
        <f>SUM(q2_raw[[#This Row],[1]:[28]])</f>
        <v>14</v>
      </c>
    </row>
    <row r="526" spans="2:32" hidden="1" x14ac:dyDescent="0.3">
      <c r="B526">
        <v>91965</v>
      </c>
      <c r="C526">
        <v>2018</v>
      </c>
      <c r="D526">
        <v>1</v>
      </c>
      <c r="E526">
        <v>1</v>
      </c>
      <c r="F526">
        <v>0</v>
      </c>
      <c r="G526">
        <v>1</v>
      </c>
      <c r="H526">
        <v>1</v>
      </c>
      <c r="I526">
        <v>0</v>
      </c>
      <c r="J526">
        <v>1</v>
      </c>
      <c r="K526">
        <v>0</v>
      </c>
      <c r="L526">
        <v>1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1</v>
      </c>
      <c r="U526">
        <v>0</v>
      </c>
      <c r="V526">
        <v>0</v>
      </c>
      <c r="W526">
        <v>0</v>
      </c>
      <c r="X526">
        <v>1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f>SUM(q2_raw[[#This Row],[1]:[28]])</f>
        <v>12</v>
      </c>
    </row>
    <row r="527" spans="2:32" hidden="1" x14ac:dyDescent="0.3">
      <c r="B527">
        <v>2720</v>
      </c>
      <c r="C527">
        <v>2018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1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1</v>
      </c>
      <c r="AD527">
        <v>0</v>
      </c>
      <c r="AE527">
        <v>1</v>
      </c>
      <c r="AF527">
        <f>SUM(q2_raw[[#This Row],[1]:[28]])</f>
        <v>12</v>
      </c>
    </row>
    <row r="528" spans="2:32" hidden="1" x14ac:dyDescent="0.3">
      <c r="B528">
        <v>84497</v>
      </c>
      <c r="C528">
        <v>2018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0</v>
      </c>
      <c r="Q528">
        <v>1</v>
      </c>
      <c r="R528">
        <v>1</v>
      </c>
      <c r="S528">
        <v>1</v>
      </c>
      <c r="T528">
        <v>0</v>
      </c>
      <c r="U528">
        <v>0</v>
      </c>
      <c r="V528">
        <v>1</v>
      </c>
      <c r="W528">
        <v>0</v>
      </c>
      <c r="X528">
        <v>1</v>
      </c>
      <c r="Y528">
        <v>1</v>
      </c>
      <c r="Z528">
        <v>1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f>SUM(q2_raw[[#This Row],[1]:[28]])</f>
        <v>15</v>
      </c>
    </row>
    <row r="529" spans="2:32" hidden="1" x14ac:dyDescent="0.3">
      <c r="B529">
        <v>36426</v>
      </c>
      <c r="C529">
        <v>2018</v>
      </c>
      <c r="D529">
        <v>0</v>
      </c>
      <c r="E529">
        <v>1</v>
      </c>
      <c r="F529">
        <v>0</v>
      </c>
      <c r="G529">
        <v>1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1</v>
      </c>
      <c r="X529">
        <v>1</v>
      </c>
      <c r="Y529">
        <v>1</v>
      </c>
      <c r="Z529">
        <v>0</v>
      </c>
      <c r="AA529">
        <v>0</v>
      </c>
      <c r="AB529">
        <v>1</v>
      </c>
      <c r="AC529">
        <v>0</v>
      </c>
      <c r="AD529">
        <v>1</v>
      </c>
      <c r="AE529">
        <v>1</v>
      </c>
      <c r="AF529">
        <f>SUM(q2_raw[[#This Row],[1]:[28]])</f>
        <v>12</v>
      </c>
    </row>
    <row r="530" spans="2:32" hidden="1" x14ac:dyDescent="0.3">
      <c r="B530">
        <v>32580</v>
      </c>
      <c r="C530">
        <v>2018</v>
      </c>
      <c r="D530">
        <v>1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1</v>
      </c>
      <c r="AB530">
        <v>1</v>
      </c>
      <c r="AC530">
        <v>0</v>
      </c>
      <c r="AD530">
        <v>1</v>
      </c>
      <c r="AE530">
        <v>1</v>
      </c>
      <c r="AF530">
        <f>SUM(q2_raw[[#This Row],[1]:[28]])</f>
        <v>13</v>
      </c>
    </row>
    <row r="531" spans="2:32" hidden="1" x14ac:dyDescent="0.3">
      <c r="B531">
        <v>92232</v>
      </c>
      <c r="C531">
        <v>2018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1</v>
      </c>
      <c r="Y531">
        <v>1</v>
      </c>
      <c r="Z531">
        <v>1</v>
      </c>
      <c r="AA531">
        <v>0</v>
      </c>
      <c r="AB531">
        <v>1</v>
      </c>
      <c r="AC531">
        <v>1</v>
      </c>
      <c r="AD531">
        <v>1</v>
      </c>
      <c r="AE531">
        <v>0</v>
      </c>
      <c r="AF531">
        <f>SUM(q2_raw[[#This Row],[1]:[28]])</f>
        <v>16</v>
      </c>
    </row>
    <row r="532" spans="2:32" hidden="1" x14ac:dyDescent="0.3">
      <c r="B532">
        <v>50890</v>
      </c>
      <c r="C532">
        <v>2018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  <c r="AE532">
        <v>1</v>
      </c>
      <c r="AF532">
        <f>SUM(q2_raw[[#This Row],[1]:[28]])</f>
        <v>9</v>
      </c>
    </row>
    <row r="533" spans="2:32" hidden="1" x14ac:dyDescent="0.3">
      <c r="B533">
        <v>25218</v>
      </c>
      <c r="C533">
        <v>2018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1</v>
      </c>
      <c r="M533">
        <v>1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f>SUM(q2_raw[[#This Row],[1]:[28]])</f>
        <v>10</v>
      </c>
    </row>
    <row r="534" spans="2:32" hidden="1" x14ac:dyDescent="0.3">
      <c r="B534">
        <v>4423</v>
      </c>
      <c r="C534">
        <v>2018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1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f>SUM(q2_raw[[#This Row],[1]:[28]])</f>
        <v>10</v>
      </c>
    </row>
    <row r="535" spans="2:32" hidden="1" x14ac:dyDescent="0.3">
      <c r="B535">
        <v>31486</v>
      </c>
      <c r="C535">
        <v>2018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1</v>
      </c>
      <c r="U535">
        <v>0</v>
      </c>
      <c r="V535">
        <v>1</v>
      </c>
      <c r="W535">
        <v>0</v>
      </c>
      <c r="X535">
        <v>0</v>
      </c>
      <c r="Y535">
        <v>1</v>
      </c>
      <c r="Z535">
        <v>0</v>
      </c>
      <c r="AA535">
        <v>1</v>
      </c>
      <c r="AB535">
        <v>0</v>
      </c>
      <c r="AC535">
        <v>0</v>
      </c>
      <c r="AD535">
        <v>1</v>
      </c>
      <c r="AE535">
        <v>1</v>
      </c>
      <c r="AF535">
        <f>SUM(q2_raw[[#This Row],[1]:[28]])</f>
        <v>10</v>
      </c>
    </row>
    <row r="536" spans="2:32" hidden="1" x14ac:dyDescent="0.3">
      <c r="B536">
        <v>103</v>
      </c>
      <c r="C536">
        <v>2018</v>
      </c>
      <c r="D536">
        <v>0</v>
      </c>
      <c r="E536">
        <v>0</v>
      </c>
      <c r="F536">
        <v>1</v>
      </c>
      <c r="G536">
        <v>1</v>
      </c>
      <c r="H536">
        <v>0</v>
      </c>
      <c r="I536">
        <v>0</v>
      </c>
      <c r="J536">
        <v>1</v>
      </c>
      <c r="K536">
        <v>0</v>
      </c>
      <c r="L536">
        <v>1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1</v>
      </c>
      <c r="AC536">
        <v>1</v>
      </c>
      <c r="AD536">
        <v>1</v>
      </c>
      <c r="AE536">
        <v>0</v>
      </c>
      <c r="AF536">
        <f>SUM(q2_raw[[#This Row],[1]:[28]])</f>
        <v>11</v>
      </c>
    </row>
    <row r="537" spans="2:32" hidden="1" x14ac:dyDescent="0.3">
      <c r="B537">
        <v>60241</v>
      </c>
      <c r="C537">
        <v>2018</v>
      </c>
      <c r="D537">
        <v>0</v>
      </c>
      <c r="E537">
        <v>0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0</v>
      </c>
      <c r="S537">
        <v>1</v>
      </c>
      <c r="T537">
        <v>1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1</v>
      </c>
      <c r="AA537">
        <v>1</v>
      </c>
      <c r="AB537">
        <v>0</v>
      </c>
      <c r="AC537">
        <v>0</v>
      </c>
      <c r="AD537">
        <v>1</v>
      </c>
      <c r="AE537">
        <v>1</v>
      </c>
      <c r="AF537">
        <f>SUM(q2_raw[[#This Row],[1]:[28]])</f>
        <v>15</v>
      </c>
    </row>
    <row r="538" spans="2:32" hidden="1" x14ac:dyDescent="0.3">
      <c r="B538">
        <v>8971</v>
      </c>
      <c r="C538">
        <v>2018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1</v>
      </c>
      <c r="AA538">
        <v>0</v>
      </c>
      <c r="AB538">
        <v>1</v>
      </c>
      <c r="AC538">
        <v>1</v>
      </c>
      <c r="AD538">
        <v>1</v>
      </c>
      <c r="AE538">
        <v>1</v>
      </c>
      <c r="AF538">
        <f>SUM(q2_raw[[#This Row],[1]:[28]])</f>
        <v>19</v>
      </c>
    </row>
    <row r="539" spans="2:32" hidden="1" x14ac:dyDescent="0.3">
      <c r="B539">
        <v>92829</v>
      </c>
      <c r="C539">
        <v>2018</v>
      </c>
      <c r="D539">
        <v>1</v>
      </c>
      <c r="E539">
        <v>1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1</v>
      </c>
      <c r="AD539">
        <v>1</v>
      </c>
      <c r="AE539">
        <v>0</v>
      </c>
      <c r="AF539">
        <f>SUM(q2_raw[[#This Row],[1]:[28]])</f>
        <v>13</v>
      </c>
    </row>
    <row r="540" spans="2:32" hidden="1" x14ac:dyDescent="0.3">
      <c r="B540">
        <v>71561</v>
      </c>
      <c r="C540">
        <v>2018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1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f>SUM(q2_raw[[#This Row],[1]:[28]])</f>
        <v>8</v>
      </c>
    </row>
    <row r="541" spans="2:32" hidden="1" x14ac:dyDescent="0.3">
      <c r="B541">
        <v>41428</v>
      </c>
      <c r="C541">
        <v>2018</v>
      </c>
      <c r="D541">
        <v>0</v>
      </c>
      <c r="E541">
        <v>1</v>
      </c>
      <c r="F541">
        <v>1</v>
      </c>
      <c r="G541">
        <v>1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1</v>
      </c>
      <c r="AA541">
        <v>1</v>
      </c>
      <c r="AB541">
        <v>1</v>
      </c>
      <c r="AC541">
        <v>0</v>
      </c>
      <c r="AD541">
        <v>1</v>
      </c>
      <c r="AE541">
        <v>0</v>
      </c>
      <c r="AF541">
        <f>SUM(q2_raw[[#This Row],[1]:[28]])</f>
        <v>14</v>
      </c>
    </row>
    <row r="542" spans="2:32" hidden="1" x14ac:dyDescent="0.3">
      <c r="B542">
        <v>71740</v>
      </c>
      <c r="C542">
        <v>2018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1</v>
      </c>
      <c r="AF542">
        <f>SUM(q2_raw[[#This Row],[1]:[28]])</f>
        <v>8</v>
      </c>
    </row>
    <row r="543" spans="2:32" hidden="1" x14ac:dyDescent="0.3">
      <c r="B543">
        <v>61503</v>
      </c>
      <c r="C543">
        <v>2018</v>
      </c>
      <c r="D543">
        <v>1</v>
      </c>
      <c r="E543">
        <v>0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0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f>SUM(q2_raw[[#This Row],[1]:[28]])</f>
        <v>11</v>
      </c>
    </row>
    <row r="544" spans="2:32" hidden="1" x14ac:dyDescent="0.3">
      <c r="B544">
        <v>85089</v>
      </c>
      <c r="C544">
        <v>2018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0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1</v>
      </c>
      <c r="AB544">
        <v>1</v>
      </c>
      <c r="AC544">
        <v>1</v>
      </c>
      <c r="AD544">
        <v>0</v>
      </c>
      <c r="AE544">
        <v>0</v>
      </c>
      <c r="AF544">
        <f>SUM(q2_raw[[#This Row],[1]:[28]])</f>
        <v>17</v>
      </c>
    </row>
    <row r="545" spans="2:32" hidden="1" x14ac:dyDescent="0.3">
      <c r="B545">
        <v>78034</v>
      </c>
      <c r="C545">
        <v>2018</v>
      </c>
      <c r="D545">
        <v>0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1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</v>
      </c>
      <c r="AE545">
        <v>0</v>
      </c>
      <c r="AF545">
        <f>SUM(q2_raw[[#This Row],[1]:[28]])</f>
        <v>16</v>
      </c>
    </row>
    <row r="546" spans="2:32" hidden="1" x14ac:dyDescent="0.3">
      <c r="B546">
        <v>15757</v>
      </c>
      <c r="C546">
        <v>2018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1</v>
      </c>
      <c r="M546">
        <v>1</v>
      </c>
      <c r="N546">
        <v>1</v>
      </c>
      <c r="O546">
        <v>0</v>
      </c>
      <c r="P546">
        <v>1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1</v>
      </c>
      <c r="AB546">
        <v>1</v>
      </c>
      <c r="AC546">
        <v>0</v>
      </c>
      <c r="AD546">
        <v>0</v>
      </c>
      <c r="AE546">
        <v>0</v>
      </c>
      <c r="AF546">
        <f>SUM(q2_raw[[#This Row],[1]:[28]])</f>
        <v>11</v>
      </c>
    </row>
    <row r="547" spans="2:32" hidden="1" x14ac:dyDescent="0.3">
      <c r="B547">
        <v>7695</v>
      </c>
      <c r="C547">
        <v>2018</v>
      </c>
      <c r="D547">
        <v>1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1</v>
      </c>
      <c r="AF547">
        <f>SUM(q2_raw[[#This Row],[1]:[28]])</f>
        <v>12</v>
      </c>
    </row>
    <row r="548" spans="2:32" hidden="1" x14ac:dyDescent="0.3">
      <c r="B548">
        <v>70810</v>
      </c>
      <c r="C548">
        <v>2018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1</v>
      </c>
      <c r="AF548">
        <f>SUM(q2_raw[[#This Row],[1]:[28]])</f>
        <v>6</v>
      </c>
    </row>
    <row r="549" spans="2:32" hidden="1" x14ac:dyDescent="0.3">
      <c r="B549">
        <v>81983</v>
      </c>
      <c r="C549">
        <v>2018</v>
      </c>
      <c r="D549">
        <v>1</v>
      </c>
      <c r="E549">
        <v>1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1</v>
      </c>
      <c r="AA549">
        <v>0</v>
      </c>
      <c r="AB549">
        <v>1</v>
      </c>
      <c r="AC549">
        <v>1</v>
      </c>
      <c r="AD549">
        <v>0</v>
      </c>
      <c r="AE549">
        <v>1</v>
      </c>
      <c r="AF549">
        <f>SUM(q2_raw[[#This Row],[1]:[28]])</f>
        <v>13</v>
      </c>
    </row>
    <row r="550" spans="2:32" hidden="1" x14ac:dyDescent="0.3">
      <c r="B550">
        <v>84230</v>
      </c>
      <c r="C550">
        <v>2018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1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1</v>
      </c>
      <c r="AB550">
        <v>1</v>
      </c>
      <c r="AC550">
        <v>0</v>
      </c>
      <c r="AD550">
        <v>0</v>
      </c>
      <c r="AE550">
        <v>0</v>
      </c>
      <c r="AF550">
        <f>SUM(q2_raw[[#This Row],[1]:[28]])</f>
        <v>14</v>
      </c>
    </row>
    <row r="551" spans="2:32" hidden="1" x14ac:dyDescent="0.3">
      <c r="B551">
        <v>89639</v>
      </c>
      <c r="C551">
        <v>2018</v>
      </c>
      <c r="D551">
        <v>0</v>
      </c>
      <c r="E551">
        <v>0</v>
      </c>
      <c r="F551">
        <v>1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f>SUM(q2_raw[[#This Row],[1]:[28]])</f>
        <v>12</v>
      </c>
    </row>
    <row r="552" spans="2:32" hidden="1" x14ac:dyDescent="0.3">
      <c r="B552">
        <v>95835</v>
      </c>
      <c r="C552">
        <v>2018</v>
      </c>
      <c r="D552">
        <v>0</v>
      </c>
      <c r="E552">
        <v>0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1</v>
      </c>
      <c r="S552">
        <v>1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1</v>
      </c>
      <c r="Z552">
        <v>1</v>
      </c>
      <c r="AA552">
        <v>0</v>
      </c>
      <c r="AB552">
        <v>0</v>
      </c>
      <c r="AC552">
        <v>0</v>
      </c>
      <c r="AD552">
        <v>1</v>
      </c>
      <c r="AE552">
        <v>1</v>
      </c>
      <c r="AF552">
        <f>SUM(q2_raw[[#This Row],[1]:[28]])</f>
        <v>13</v>
      </c>
    </row>
    <row r="553" spans="2:32" hidden="1" x14ac:dyDescent="0.3">
      <c r="B553">
        <v>63892</v>
      </c>
      <c r="C553">
        <v>2018</v>
      </c>
      <c r="D553">
        <v>0</v>
      </c>
      <c r="E553">
        <v>1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1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1</v>
      </c>
      <c r="AE553">
        <v>1</v>
      </c>
      <c r="AF553">
        <f>SUM(q2_raw[[#This Row],[1]:[28]])</f>
        <v>11</v>
      </c>
    </row>
    <row r="554" spans="2:32" hidden="1" x14ac:dyDescent="0.3">
      <c r="B554">
        <v>86767</v>
      </c>
      <c r="C554">
        <v>2018</v>
      </c>
      <c r="D554">
        <v>1</v>
      </c>
      <c r="E554">
        <v>0</v>
      </c>
      <c r="F554">
        <v>1</v>
      </c>
      <c r="G554">
        <v>0</v>
      </c>
      <c r="H554">
        <v>1</v>
      </c>
      <c r="I554">
        <v>1</v>
      </c>
      <c r="J554">
        <v>0</v>
      </c>
      <c r="K554">
        <v>1</v>
      </c>
      <c r="L554">
        <v>1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1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1</v>
      </c>
      <c r="AA554">
        <v>1</v>
      </c>
      <c r="AB554">
        <v>1</v>
      </c>
      <c r="AC554">
        <v>1</v>
      </c>
      <c r="AD554">
        <v>0</v>
      </c>
      <c r="AE554">
        <v>0</v>
      </c>
      <c r="AF554">
        <f>SUM(q2_raw[[#This Row],[1]:[28]])</f>
        <v>16</v>
      </c>
    </row>
    <row r="555" spans="2:32" hidden="1" x14ac:dyDescent="0.3">
      <c r="B555">
        <v>17059</v>
      </c>
      <c r="C555">
        <v>2018</v>
      </c>
      <c r="D555">
        <v>1</v>
      </c>
      <c r="E555">
        <v>1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1</v>
      </c>
      <c r="AC555">
        <v>1</v>
      </c>
      <c r="AD555">
        <v>1</v>
      </c>
      <c r="AE555">
        <v>0</v>
      </c>
      <c r="AF555">
        <f>SUM(q2_raw[[#This Row],[1]:[28]])</f>
        <v>14</v>
      </c>
    </row>
    <row r="556" spans="2:32" hidden="1" x14ac:dyDescent="0.3">
      <c r="B556">
        <v>33387</v>
      </c>
      <c r="C556">
        <v>2018</v>
      </c>
      <c r="D556">
        <v>1</v>
      </c>
      <c r="E556">
        <v>1</v>
      </c>
      <c r="F556">
        <v>0</v>
      </c>
      <c r="G556">
        <v>1</v>
      </c>
      <c r="H556">
        <v>0</v>
      </c>
      <c r="I556">
        <v>1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f>SUM(q2_raw[[#This Row],[1]:[28]])</f>
        <v>10</v>
      </c>
    </row>
    <row r="557" spans="2:32" hidden="1" x14ac:dyDescent="0.3">
      <c r="B557">
        <v>57239</v>
      </c>
      <c r="C557">
        <v>2018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1</v>
      </c>
      <c r="U557">
        <v>0</v>
      </c>
      <c r="V557">
        <v>0</v>
      </c>
      <c r="W557">
        <v>1</v>
      </c>
      <c r="X557">
        <v>1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f>SUM(q2_raw[[#This Row],[1]:[28]])</f>
        <v>12</v>
      </c>
    </row>
    <row r="558" spans="2:32" hidden="1" x14ac:dyDescent="0.3">
      <c r="B558">
        <v>13982</v>
      </c>
      <c r="C558">
        <v>2018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0</v>
      </c>
      <c r="AF558">
        <f>SUM(q2_raw[[#This Row],[1]:[28]])</f>
        <v>12</v>
      </c>
    </row>
    <row r="559" spans="2:32" hidden="1" x14ac:dyDescent="0.3">
      <c r="B559">
        <v>74035</v>
      </c>
      <c r="C559">
        <v>2018</v>
      </c>
      <c r="D559">
        <v>0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1</v>
      </c>
      <c r="AE559">
        <v>1</v>
      </c>
      <c r="AF559">
        <f>SUM(q2_raw[[#This Row],[1]:[28]])</f>
        <v>13</v>
      </c>
    </row>
    <row r="560" spans="2:32" hidden="1" x14ac:dyDescent="0.3">
      <c r="B560">
        <v>26905</v>
      </c>
      <c r="C560">
        <v>2018</v>
      </c>
      <c r="D560">
        <v>0</v>
      </c>
      <c r="E560">
        <v>1</v>
      </c>
      <c r="F560">
        <v>1</v>
      </c>
      <c r="G560">
        <v>0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1</v>
      </c>
      <c r="P560">
        <v>1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0</v>
      </c>
      <c r="AF560">
        <f>SUM(q2_raw[[#This Row],[1]:[28]])</f>
        <v>13</v>
      </c>
    </row>
    <row r="561" spans="2:32" hidden="1" x14ac:dyDescent="0.3">
      <c r="B561">
        <v>57224</v>
      </c>
      <c r="C561">
        <v>2018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1</v>
      </c>
      <c r="W561">
        <v>0</v>
      </c>
      <c r="X561">
        <v>0</v>
      </c>
      <c r="Y561">
        <v>1</v>
      </c>
      <c r="Z561">
        <v>1</v>
      </c>
      <c r="AA561">
        <v>0</v>
      </c>
      <c r="AB561">
        <v>1</v>
      </c>
      <c r="AC561">
        <v>1</v>
      </c>
      <c r="AD561">
        <v>1</v>
      </c>
      <c r="AE561">
        <v>0</v>
      </c>
      <c r="AF561">
        <f>SUM(q2_raw[[#This Row],[1]:[28]])</f>
        <v>15</v>
      </c>
    </row>
    <row r="562" spans="2:32" hidden="1" x14ac:dyDescent="0.3">
      <c r="B562">
        <v>21546</v>
      </c>
      <c r="C562">
        <v>2018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f>SUM(q2_raw[[#This Row],[1]:[28]])</f>
        <v>8</v>
      </c>
    </row>
    <row r="563" spans="2:32" hidden="1" x14ac:dyDescent="0.3">
      <c r="B563">
        <v>28857</v>
      </c>
      <c r="C563">
        <v>2018</v>
      </c>
      <c r="D563">
        <v>0</v>
      </c>
      <c r="E563">
        <v>0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1</v>
      </c>
      <c r="P563">
        <v>0</v>
      </c>
      <c r="Q563">
        <v>1</v>
      </c>
      <c r="R563">
        <v>0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1</v>
      </c>
      <c r="AA563">
        <v>1</v>
      </c>
      <c r="AB563">
        <v>0</v>
      </c>
      <c r="AC563">
        <v>0</v>
      </c>
      <c r="AD563">
        <v>0</v>
      </c>
      <c r="AE563">
        <v>1</v>
      </c>
      <c r="AF563">
        <f>SUM(q2_raw[[#This Row],[1]:[28]])</f>
        <v>14</v>
      </c>
    </row>
    <row r="564" spans="2:32" hidden="1" x14ac:dyDescent="0.3">
      <c r="B564">
        <v>32654</v>
      </c>
      <c r="C564">
        <v>2018</v>
      </c>
      <c r="D564">
        <v>0</v>
      </c>
      <c r="E564">
        <v>0</v>
      </c>
      <c r="F564">
        <v>1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0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f>SUM(q2_raw[[#This Row],[1]:[28]])</f>
        <v>19</v>
      </c>
    </row>
    <row r="565" spans="2:32" hidden="1" x14ac:dyDescent="0.3">
      <c r="B565">
        <v>87083</v>
      </c>
      <c r="C565">
        <v>2018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1</v>
      </c>
      <c r="AE565">
        <v>1</v>
      </c>
      <c r="AF565">
        <f>SUM(q2_raw[[#This Row],[1]:[28]])</f>
        <v>10</v>
      </c>
    </row>
    <row r="566" spans="2:32" hidden="1" x14ac:dyDescent="0.3">
      <c r="B566">
        <v>38664</v>
      </c>
      <c r="C566">
        <v>2018</v>
      </c>
      <c r="D566">
        <v>1</v>
      </c>
      <c r="E566">
        <v>0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0</v>
      </c>
      <c r="L566">
        <v>1</v>
      </c>
      <c r="M566">
        <v>1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1</v>
      </c>
      <c r="AC566">
        <v>0</v>
      </c>
      <c r="AD566">
        <v>0</v>
      </c>
      <c r="AE566">
        <v>0</v>
      </c>
      <c r="AF566">
        <f>SUM(q2_raw[[#This Row],[1]:[28]])</f>
        <v>13</v>
      </c>
    </row>
    <row r="567" spans="2:32" hidden="1" x14ac:dyDescent="0.3">
      <c r="B567">
        <v>59835</v>
      </c>
      <c r="C567">
        <v>2018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f>SUM(q2_raw[[#This Row],[1]:[28]])</f>
        <v>8</v>
      </c>
    </row>
    <row r="568" spans="2:32" hidden="1" x14ac:dyDescent="0.3">
      <c r="B568">
        <v>8455</v>
      </c>
      <c r="C568">
        <v>2018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1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1</v>
      </c>
      <c r="AA568">
        <v>0</v>
      </c>
      <c r="AB568">
        <v>1</v>
      </c>
      <c r="AC568">
        <v>1</v>
      </c>
      <c r="AD568">
        <v>0</v>
      </c>
      <c r="AE568">
        <v>0</v>
      </c>
      <c r="AF568">
        <f>SUM(q2_raw[[#This Row],[1]:[28]])</f>
        <v>11</v>
      </c>
    </row>
    <row r="569" spans="2:32" hidden="1" x14ac:dyDescent="0.3">
      <c r="B569">
        <v>30399</v>
      </c>
      <c r="C569">
        <v>2018</v>
      </c>
      <c r="D569">
        <v>0</v>
      </c>
      <c r="E569">
        <v>1</v>
      </c>
      <c r="F569">
        <v>1</v>
      </c>
      <c r="G569">
        <v>1</v>
      </c>
      <c r="H569">
        <v>0</v>
      </c>
      <c r="I569">
        <v>1</v>
      </c>
      <c r="J569">
        <v>1</v>
      </c>
      <c r="K569">
        <v>1</v>
      </c>
      <c r="L569">
        <v>0</v>
      </c>
      <c r="M569">
        <v>0</v>
      </c>
      <c r="N569">
        <v>0</v>
      </c>
      <c r="O569">
        <v>1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1</v>
      </c>
      <c r="AB569">
        <v>0</v>
      </c>
      <c r="AC569">
        <v>1</v>
      </c>
      <c r="AD569">
        <v>1</v>
      </c>
      <c r="AE569">
        <v>1</v>
      </c>
      <c r="AF569">
        <f>SUM(q2_raw[[#This Row],[1]:[28]])</f>
        <v>13</v>
      </c>
    </row>
    <row r="570" spans="2:32" hidden="1" x14ac:dyDescent="0.3">
      <c r="B570">
        <v>69877</v>
      </c>
      <c r="C570">
        <v>2018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1</v>
      </c>
      <c r="AD570">
        <v>1</v>
      </c>
      <c r="AE570">
        <v>0</v>
      </c>
      <c r="AF570">
        <f>SUM(q2_raw[[#This Row],[1]:[28]])</f>
        <v>13</v>
      </c>
    </row>
    <row r="571" spans="2:32" hidden="1" x14ac:dyDescent="0.3">
      <c r="B571">
        <v>3938</v>
      </c>
      <c r="C571">
        <v>2018</v>
      </c>
      <c r="D571">
        <v>1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0</v>
      </c>
      <c r="AB571">
        <v>1</v>
      </c>
      <c r="AC571">
        <v>0</v>
      </c>
      <c r="AD571">
        <v>1</v>
      </c>
      <c r="AE571">
        <v>0</v>
      </c>
      <c r="AF571">
        <f>SUM(q2_raw[[#This Row],[1]:[28]])</f>
        <v>14</v>
      </c>
    </row>
    <row r="572" spans="2:32" hidden="1" x14ac:dyDescent="0.3">
      <c r="B572">
        <v>19635</v>
      </c>
      <c r="C572">
        <v>2018</v>
      </c>
      <c r="D572">
        <v>1</v>
      </c>
      <c r="E572">
        <v>0</v>
      </c>
      <c r="F572">
        <v>1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1</v>
      </c>
      <c r="Q572">
        <v>0</v>
      </c>
      <c r="R572">
        <v>1</v>
      </c>
      <c r="S572">
        <v>0</v>
      </c>
      <c r="T572">
        <v>1</v>
      </c>
      <c r="U572">
        <v>0</v>
      </c>
      <c r="V572">
        <v>1</v>
      </c>
      <c r="W572">
        <v>0</v>
      </c>
      <c r="X572">
        <v>0</v>
      </c>
      <c r="Y572">
        <v>1</v>
      </c>
      <c r="Z572">
        <v>0</v>
      </c>
      <c r="AA572">
        <v>1</v>
      </c>
      <c r="AB572">
        <v>0</v>
      </c>
      <c r="AC572">
        <v>0</v>
      </c>
      <c r="AD572">
        <v>1</v>
      </c>
      <c r="AE572">
        <v>1</v>
      </c>
      <c r="AF572">
        <f>SUM(q2_raw[[#This Row],[1]:[28]])</f>
        <v>15</v>
      </c>
    </row>
    <row r="573" spans="2:32" hidden="1" x14ac:dyDescent="0.3">
      <c r="B573">
        <v>66240</v>
      </c>
      <c r="C573">
        <v>2018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1</v>
      </c>
      <c r="U573">
        <v>0</v>
      </c>
      <c r="V573">
        <v>1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1</v>
      </c>
      <c r="AC573">
        <v>1</v>
      </c>
      <c r="AD573">
        <v>0</v>
      </c>
      <c r="AE573">
        <v>1</v>
      </c>
      <c r="AF573">
        <f>SUM(q2_raw[[#This Row],[1]:[28]])</f>
        <v>12</v>
      </c>
    </row>
    <row r="574" spans="2:32" hidden="1" x14ac:dyDescent="0.3">
      <c r="B574">
        <v>40081</v>
      </c>
      <c r="C574">
        <v>2018</v>
      </c>
      <c r="D574">
        <v>1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1</v>
      </c>
      <c r="Y574">
        <v>1</v>
      </c>
      <c r="Z574">
        <v>0</v>
      </c>
      <c r="AA574">
        <v>1</v>
      </c>
      <c r="AB574">
        <v>0</v>
      </c>
      <c r="AC574">
        <v>1</v>
      </c>
      <c r="AD574">
        <v>0</v>
      </c>
      <c r="AE574">
        <v>1</v>
      </c>
      <c r="AF574">
        <f>SUM(q2_raw[[#This Row],[1]:[28]])</f>
        <v>13</v>
      </c>
    </row>
    <row r="575" spans="2:32" hidden="1" x14ac:dyDescent="0.3">
      <c r="B575">
        <v>81689</v>
      </c>
      <c r="C575">
        <v>2018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1</v>
      </c>
      <c r="V575">
        <v>1</v>
      </c>
      <c r="W575">
        <v>0</v>
      </c>
      <c r="X575">
        <v>0</v>
      </c>
      <c r="Y575">
        <v>1</v>
      </c>
      <c r="Z575">
        <v>1</v>
      </c>
      <c r="AA575">
        <v>0</v>
      </c>
      <c r="AB575">
        <v>1</v>
      </c>
      <c r="AC575">
        <v>1</v>
      </c>
      <c r="AD575">
        <v>1</v>
      </c>
      <c r="AE575">
        <v>0</v>
      </c>
      <c r="AF575">
        <f>SUM(q2_raw[[#This Row],[1]:[28]])</f>
        <v>14</v>
      </c>
    </row>
    <row r="576" spans="2:32" hidden="1" x14ac:dyDescent="0.3">
      <c r="B576">
        <v>90186</v>
      </c>
      <c r="C576">
        <v>2018</v>
      </c>
      <c r="D576">
        <v>1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1</v>
      </c>
      <c r="AB576">
        <v>0</v>
      </c>
      <c r="AC576">
        <v>0</v>
      </c>
      <c r="AD576">
        <v>1</v>
      </c>
      <c r="AE576">
        <v>0</v>
      </c>
      <c r="AF576">
        <f>SUM(q2_raw[[#This Row],[1]:[28]])</f>
        <v>11</v>
      </c>
    </row>
    <row r="577" spans="2:32" hidden="1" x14ac:dyDescent="0.3">
      <c r="B577">
        <v>99058</v>
      </c>
      <c r="C577">
        <v>2018</v>
      </c>
      <c r="D577">
        <v>1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1</v>
      </c>
      <c r="R577">
        <v>1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1</v>
      </c>
      <c r="Z577">
        <v>1</v>
      </c>
      <c r="AA577">
        <v>0</v>
      </c>
      <c r="AB577">
        <v>0</v>
      </c>
      <c r="AC577">
        <v>1</v>
      </c>
      <c r="AD577">
        <v>0</v>
      </c>
      <c r="AE577">
        <v>1</v>
      </c>
      <c r="AF577">
        <f>SUM(q2_raw[[#This Row],[1]:[28]])</f>
        <v>14</v>
      </c>
    </row>
    <row r="578" spans="2:32" hidden="1" x14ac:dyDescent="0.3">
      <c r="B578">
        <v>65882</v>
      </c>
      <c r="C578">
        <v>2018</v>
      </c>
      <c r="D578">
        <v>0</v>
      </c>
      <c r="E578">
        <v>0</v>
      </c>
      <c r="F578">
        <v>1</v>
      </c>
      <c r="G578">
        <v>1</v>
      </c>
      <c r="H578">
        <v>1</v>
      </c>
      <c r="I578">
        <v>0</v>
      </c>
      <c r="J578">
        <v>1</v>
      </c>
      <c r="K578">
        <v>1</v>
      </c>
      <c r="L578">
        <v>1</v>
      </c>
      <c r="M578">
        <v>0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1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f>SUM(q2_raw[[#This Row],[1]:[28]])</f>
        <v>12</v>
      </c>
    </row>
    <row r="579" spans="2:32" hidden="1" x14ac:dyDescent="0.3">
      <c r="B579">
        <v>61611</v>
      </c>
      <c r="C579">
        <v>2018</v>
      </c>
      <c r="D579">
        <v>0</v>
      </c>
      <c r="E579">
        <v>1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1</v>
      </c>
      <c r="AA579">
        <v>1</v>
      </c>
      <c r="AB579">
        <v>0</v>
      </c>
      <c r="AC579">
        <v>0</v>
      </c>
      <c r="AD579">
        <v>0</v>
      </c>
      <c r="AE579">
        <v>1</v>
      </c>
      <c r="AF579">
        <f>SUM(q2_raw[[#This Row],[1]:[28]])</f>
        <v>13</v>
      </c>
    </row>
    <row r="580" spans="2:32" hidden="1" x14ac:dyDescent="0.3">
      <c r="B580">
        <v>63966</v>
      </c>
      <c r="C580">
        <v>2018</v>
      </c>
      <c r="D580">
        <v>1</v>
      </c>
      <c r="E580">
        <v>1</v>
      </c>
      <c r="F580">
        <v>0</v>
      </c>
      <c r="G580">
        <v>1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1</v>
      </c>
      <c r="N580">
        <v>1</v>
      </c>
      <c r="O580">
        <v>0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1</v>
      </c>
      <c r="Z580">
        <v>1</v>
      </c>
      <c r="AA580">
        <v>1</v>
      </c>
      <c r="AB580">
        <v>1</v>
      </c>
      <c r="AC580">
        <v>0</v>
      </c>
      <c r="AD580">
        <v>0</v>
      </c>
      <c r="AE580">
        <v>1</v>
      </c>
      <c r="AF580">
        <f>SUM(q2_raw[[#This Row],[1]:[28]])</f>
        <v>19</v>
      </c>
    </row>
    <row r="581" spans="2:32" hidden="1" x14ac:dyDescent="0.3">
      <c r="B581">
        <v>93640</v>
      </c>
      <c r="C581">
        <v>2018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  <c r="AE581">
        <v>0</v>
      </c>
      <c r="AF581">
        <f>SUM(q2_raw[[#This Row],[1]:[28]])</f>
        <v>8</v>
      </c>
    </row>
    <row r="582" spans="2:32" hidden="1" x14ac:dyDescent="0.3">
      <c r="B582">
        <v>22996</v>
      </c>
      <c r="C582">
        <v>2018</v>
      </c>
      <c r="D582">
        <v>0</v>
      </c>
      <c r="E582">
        <v>1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1</v>
      </c>
      <c r="AC582">
        <v>1</v>
      </c>
      <c r="AD582">
        <v>1</v>
      </c>
      <c r="AE582">
        <v>0</v>
      </c>
      <c r="AF582">
        <f>SUM(q2_raw[[#This Row],[1]:[28]])</f>
        <v>11</v>
      </c>
    </row>
    <row r="583" spans="2:32" hidden="1" x14ac:dyDescent="0.3">
      <c r="B583">
        <v>1263</v>
      </c>
      <c r="C583">
        <v>2018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1</v>
      </c>
      <c r="R583">
        <v>1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f>SUM(q2_raw[[#This Row],[1]:[28]])</f>
        <v>8</v>
      </c>
    </row>
    <row r="584" spans="2:32" hidden="1" x14ac:dyDescent="0.3">
      <c r="B584">
        <v>54989</v>
      </c>
      <c r="C584">
        <v>2018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1</v>
      </c>
      <c r="L584">
        <v>0</v>
      </c>
      <c r="M584">
        <v>1</v>
      </c>
      <c r="N584">
        <v>0</v>
      </c>
      <c r="O584">
        <v>0</v>
      </c>
      <c r="P584">
        <v>1</v>
      </c>
      <c r="Q584">
        <v>1</v>
      </c>
      <c r="R584">
        <v>1</v>
      </c>
      <c r="S584">
        <v>0</v>
      </c>
      <c r="T584">
        <v>1</v>
      </c>
      <c r="U584">
        <v>0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0</v>
      </c>
      <c r="AC584">
        <v>1</v>
      </c>
      <c r="AD584">
        <v>1</v>
      </c>
      <c r="AE584">
        <v>0</v>
      </c>
      <c r="AF584">
        <f>SUM(q2_raw[[#This Row],[1]:[28]])</f>
        <v>16</v>
      </c>
    </row>
    <row r="585" spans="2:32" hidden="1" x14ac:dyDescent="0.3">
      <c r="B585">
        <v>42779</v>
      </c>
      <c r="C585">
        <v>2018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1</v>
      </c>
      <c r="S585">
        <v>1</v>
      </c>
      <c r="T585">
        <v>0</v>
      </c>
      <c r="U585">
        <v>0</v>
      </c>
      <c r="V585">
        <v>1</v>
      </c>
      <c r="W585">
        <v>1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f>SUM(q2_raw[[#This Row],[1]:[28]])</f>
        <v>8</v>
      </c>
    </row>
    <row r="586" spans="2:32" hidden="1" x14ac:dyDescent="0.3">
      <c r="B586">
        <v>96635</v>
      </c>
      <c r="C586">
        <v>2018</v>
      </c>
      <c r="D586">
        <v>0</v>
      </c>
      <c r="E586">
        <v>0</v>
      </c>
      <c r="F586">
        <v>1</v>
      </c>
      <c r="G586">
        <v>1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1</v>
      </c>
      <c r="O586">
        <v>0</v>
      </c>
      <c r="P586">
        <v>1</v>
      </c>
      <c r="Q586">
        <v>0</v>
      </c>
      <c r="R586">
        <v>1</v>
      </c>
      <c r="S586">
        <v>0</v>
      </c>
      <c r="T586">
        <v>1</v>
      </c>
      <c r="U586">
        <v>1</v>
      </c>
      <c r="V586">
        <v>1</v>
      </c>
      <c r="W586">
        <v>0</v>
      </c>
      <c r="X586">
        <v>1</v>
      </c>
      <c r="Y586">
        <v>0</v>
      </c>
      <c r="Z586">
        <v>1</v>
      </c>
      <c r="AA586">
        <v>1</v>
      </c>
      <c r="AB586">
        <v>1</v>
      </c>
      <c r="AC586">
        <v>0</v>
      </c>
      <c r="AD586">
        <v>1</v>
      </c>
      <c r="AE586">
        <v>1</v>
      </c>
      <c r="AF586">
        <f>SUM(q2_raw[[#This Row],[1]:[28]])</f>
        <v>16</v>
      </c>
    </row>
    <row r="587" spans="2:32" hidden="1" x14ac:dyDescent="0.3">
      <c r="B587">
        <v>57802</v>
      </c>
      <c r="C587">
        <v>2018</v>
      </c>
      <c r="D587">
        <v>1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1</v>
      </c>
      <c r="Z587">
        <v>0</v>
      </c>
      <c r="AA587">
        <v>1</v>
      </c>
      <c r="AB587">
        <v>0</v>
      </c>
      <c r="AC587">
        <v>1</v>
      </c>
      <c r="AD587">
        <v>1</v>
      </c>
      <c r="AE587">
        <v>1</v>
      </c>
      <c r="AF587">
        <f>SUM(q2_raw[[#This Row],[1]:[28]])</f>
        <v>13</v>
      </c>
    </row>
    <row r="588" spans="2:32" hidden="1" x14ac:dyDescent="0.3">
      <c r="B588">
        <v>84657</v>
      </c>
      <c r="C588">
        <v>2018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</v>
      </c>
      <c r="J588">
        <v>1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1</v>
      </c>
      <c r="AD588">
        <v>1</v>
      </c>
      <c r="AE588">
        <v>1</v>
      </c>
      <c r="AF588">
        <f>SUM(q2_raw[[#This Row],[1]:[28]])</f>
        <v>13</v>
      </c>
    </row>
    <row r="589" spans="2:32" hidden="1" x14ac:dyDescent="0.3">
      <c r="B589">
        <v>54185</v>
      </c>
      <c r="C589">
        <v>2018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1</v>
      </c>
      <c r="X589">
        <v>0</v>
      </c>
      <c r="Y589">
        <v>1</v>
      </c>
      <c r="Z589">
        <v>1</v>
      </c>
      <c r="AA589">
        <v>1</v>
      </c>
      <c r="AB589">
        <v>0</v>
      </c>
      <c r="AC589">
        <v>1</v>
      </c>
      <c r="AD589">
        <v>1</v>
      </c>
      <c r="AE589">
        <v>0</v>
      </c>
      <c r="AF589">
        <f>SUM(q2_raw[[#This Row],[1]:[28]])</f>
        <v>14</v>
      </c>
    </row>
    <row r="590" spans="2:32" hidden="1" x14ac:dyDescent="0.3">
      <c r="B590">
        <v>87637</v>
      </c>
      <c r="C590">
        <v>2018</v>
      </c>
      <c r="D590">
        <v>1</v>
      </c>
      <c r="E590">
        <v>0</v>
      </c>
      <c r="F590">
        <v>1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0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1</v>
      </c>
      <c r="AC590">
        <v>1</v>
      </c>
      <c r="AD590">
        <v>1</v>
      </c>
      <c r="AE590">
        <v>0</v>
      </c>
      <c r="AF590">
        <f>SUM(q2_raw[[#This Row],[1]:[28]])</f>
        <v>10</v>
      </c>
    </row>
    <row r="591" spans="2:32" hidden="1" x14ac:dyDescent="0.3">
      <c r="B591">
        <v>41569</v>
      </c>
      <c r="C591">
        <v>2018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>
        <v>1</v>
      </c>
      <c r="AB591">
        <v>1</v>
      </c>
      <c r="AC591">
        <v>1</v>
      </c>
      <c r="AD591">
        <v>1</v>
      </c>
      <c r="AE591">
        <v>0</v>
      </c>
      <c r="AF591">
        <f>SUM(q2_raw[[#This Row],[1]:[28]])</f>
        <v>8</v>
      </c>
    </row>
    <row r="592" spans="2:32" hidden="1" x14ac:dyDescent="0.3">
      <c r="B592">
        <v>49419</v>
      </c>
      <c r="C592">
        <v>2018</v>
      </c>
      <c r="D592">
        <v>1</v>
      </c>
      <c r="E592">
        <v>0</v>
      </c>
      <c r="F592">
        <v>1</v>
      </c>
      <c r="G592">
        <v>1</v>
      </c>
      <c r="H592">
        <v>0</v>
      </c>
      <c r="I592">
        <v>0</v>
      </c>
      <c r="J592">
        <v>1</v>
      </c>
      <c r="K592">
        <v>1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1</v>
      </c>
      <c r="T592">
        <v>1</v>
      </c>
      <c r="U592">
        <v>0</v>
      </c>
      <c r="V592">
        <v>0</v>
      </c>
      <c r="W592">
        <v>1</v>
      </c>
      <c r="X592">
        <v>0</v>
      </c>
      <c r="Y592">
        <v>1</v>
      </c>
      <c r="Z592">
        <v>1</v>
      </c>
      <c r="AA592">
        <v>1</v>
      </c>
      <c r="AB592">
        <v>1</v>
      </c>
      <c r="AC592">
        <v>0</v>
      </c>
      <c r="AD592">
        <v>0</v>
      </c>
      <c r="AE592">
        <v>1</v>
      </c>
      <c r="AF592">
        <f>SUM(q2_raw[[#This Row],[1]:[28]])</f>
        <v>16</v>
      </c>
    </row>
    <row r="593" spans="2:32" hidden="1" x14ac:dyDescent="0.3">
      <c r="B593">
        <v>13530</v>
      </c>
      <c r="C593">
        <v>2018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1</v>
      </c>
      <c r="R593">
        <v>0</v>
      </c>
      <c r="S593">
        <v>1</v>
      </c>
      <c r="T593">
        <v>1</v>
      </c>
      <c r="U593">
        <v>1</v>
      </c>
      <c r="V593">
        <v>0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0</v>
      </c>
      <c r="AC593">
        <v>1</v>
      </c>
      <c r="AD593">
        <v>1</v>
      </c>
      <c r="AE593">
        <v>1</v>
      </c>
      <c r="AF593">
        <f>SUM(q2_raw[[#This Row],[1]:[28]])</f>
        <v>15</v>
      </c>
    </row>
    <row r="594" spans="2:32" hidden="1" x14ac:dyDescent="0.3">
      <c r="B594">
        <v>95472</v>
      </c>
      <c r="C594">
        <v>2018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0</v>
      </c>
      <c r="AE594">
        <v>1</v>
      </c>
      <c r="AF594">
        <f>SUM(q2_raw[[#This Row],[1]:[28]])</f>
        <v>6</v>
      </c>
    </row>
    <row r="595" spans="2:32" hidden="1" x14ac:dyDescent="0.3">
      <c r="B595">
        <v>64684</v>
      </c>
      <c r="C595">
        <v>2018</v>
      </c>
      <c r="D595">
        <v>1</v>
      </c>
      <c r="E595">
        <v>1</v>
      </c>
      <c r="F595">
        <v>1</v>
      </c>
      <c r="G595">
        <v>0</v>
      </c>
      <c r="H595">
        <v>1</v>
      </c>
      <c r="I595">
        <v>0</v>
      </c>
      <c r="J595">
        <v>1</v>
      </c>
      <c r="K595">
        <v>0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1</v>
      </c>
      <c r="AE595">
        <v>0</v>
      </c>
      <c r="AF595">
        <f>SUM(q2_raw[[#This Row],[1]:[28]])</f>
        <v>10</v>
      </c>
    </row>
    <row r="596" spans="2:32" hidden="1" x14ac:dyDescent="0.3">
      <c r="B596">
        <v>35639</v>
      </c>
      <c r="C596">
        <v>2018</v>
      </c>
      <c r="D596">
        <v>1</v>
      </c>
      <c r="E596">
        <v>0</v>
      </c>
      <c r="F596">
        <v>1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1</v>
      </c>
      <c r="AB596">
        <v>0</v>
      </c>
      <c r="AC596">
        <v>0</v>
      </c>
      <c r="AD596">
        <v>1</v>
      </c>
      <c r="AE596">
        <v>0</v>
      </c>
      <c r="AF596">
        <f>SUM(q2_raw[[#This Row],[1]:[28]])</f>
        <v>9</v>
      </c>
    </row>
    <row r="597" spans="2:32" hidden="1" x14ac:dyDescent="0.3">
      <c r="B597">
        <v>7853</v>
      </c>
      <c r="C597">
        <v>2018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1</v>
      </c>
      <c r="L597">
        <v>0</v>
      </c>
      <c r="M597">
        <v>1</v>
      </c>
      <c r="N597">
        <v>0</v>
      </c>
      <c r="O597">
        <v>0</v>
      </c>
      <c r="P597">
        <v>1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1</v>
      </c>
      <c r="AB597">
        <v>0</v>
      </c>
      <c r="AC597">
        <v>1</v>
      </c>
      <c r="AD597">
        <v>0</v>
      </c>
      <c r="AE597">
        <v>1</v>
      </c>
      <c r="AF597">
        <f>SUM(q2_raw[[#This Row],[1]:[28]])</f>
        <v>12</v>
      </c>
    </row>
    <row r="598" spans="2:32" hidden="1" x14ac:dyDescent="0.3">
      <c r="B598">
        <v>23764</v>
      </c>
      <c r="C598">
        <v>2018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1</v>
      </c>
      <c r="L598">
        <v>0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1</v>
      </c>
      <c r="AB598">
        <v>1</v>
      </c>
      <c r="AC598">
        <v>0</v>
      </c>
      <c r="AD598">
        <v>1</v>
      </c>
      <c r="AE598">
        <v>1</v>
      </c>
      <c r="AF598">
        <f>SUM(q2_raw[[#This Row],[1]:[28]])</f>
        <v>15</v>
      </c>
    </row>
    <row r="599" spans="2:32" hidden="1" x14ac:dyDescent="0.3">
      <c r="B599">
        <v>15634</v>
      </c>
      <c r="C599">
        <v>2018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1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1</v>
      </c>
      <c r="S599">
        <v>1</v>
      </c>
      <c r="T599">
        <v>1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f>SUM(q2_raw[[#This Row],[1]:[28]])</f>
        <v>9</v>
      </c>
    </row>
    <row r="600" spans="2:32" hidden="1" x14ac:dyDescent="0.3">
      <c r="B600">
        <v>31537</v>
      </c>
      <c r="C600">
        <v>2018</v>
      </c>
      <c r="D600">
        <v>0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1</v>
      </c>
      <c r="K600">
        <v>1</v>
      </c>
      <c r="L600">
        <v>1</v>
      </c>
      <c r="M600">
        <v>0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1</v>
      </c>
      <c r="Z600">
        <v>1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f>SUM(q2_raw[[#This Row],[1]:[28]])</f>
        <v>13</v>
      </c>
    </row>
    <row r="601" spans="2:32" hidden="1" x14ac:dyDescent="0.3">
      <c r="B601">
        <v>31025</v>
      </c>
      <c r="C601">
        <v>2018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1</v>
      </c>
      <c r="AA601">
        <v>1</v>
      </c>
      <c r="AB601">
        <v>0</v>
      </c>
      <c r="AC601">
        <v>1</v>
      </c>
      <c r="AD601">
        <v>0</v>
      </c>
      <c r="AE601">
        <v>1</v>
      </c>
      <c r="AF601">
        <f>SUM(q2_raw[[#This Row],[1]:[28]])</f>
        <v>11</v>
      </c>
    </row>
    <row r="602" spans="2:32" hidden="1" x14ac:dyDescent="0.3">
      <c r="B602">
        <v>4528</v>
      </c>
      <c r="C602">
        <v>2018</v>
      </c>
      <c r="D602">
        <v>1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1</v>
      </c>
      <c r="S602">
        <v>0</v>
      </c>
      <c r="T602">
        <v>0</v>
      </c>
      <c r="U602">
        <v>1</v>
      </c>
      <c r="V602">
        <v>1</v>
      </c>
      <c r="W602">
        <v>1</v>
      </c>
      <c r="X602">
        <v>1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f>SUM(q2_raw[[#This Row],[1]:[28]])</f>
        <v>12</v>
      </c>
    </row>
    <row r="603" spans="2:32" hidden="1" x14ac:dyDescent="0.3">
      <c r="B603">
        <v>48540</v>
      </c>
      <c r="C603">
        <v>2018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f>SUM(q2_raw[[#This Row],[1]:[28]])</f>
        <v>8</v>
      </c>
    </row>
    <row r="604" spans="2:32" hidden="1" x14ac:dyDescent="0.3">
      <c r="B604">
        <v>53259</v>
      </c>
      <c r="C604">
        <v>2018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1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1</v>
      </c>
      <c r="AF604">
        <f>SUM(q2_raw[[#This Row],[1]:[28]])</f>
        <v>9</v>
      </c>
    </row>
    <row r="605" spans="2:32" hidden="1" x14ac:dyDescent="0.3">
      <c r="B605">
        <v>27734</v>
      </c>
      <c r="C605">
        <v>2018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1</v>
      </c>
      <c r="M605">
        <v>0</v>
      </c>
      <c r="N605">
        <v>1</v>
      </c>
      <c r="O605">
        <v>1</v>
      </c>
      <c r="P605">
        <v>1</v>
      </c>
      <c r="Q605">
        <v>0</v>
      </c>
      <c r="R605">
        <v>1</v>
      </c>
      <c r="S605">
        <v>1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f>SUM(q2_raw[[#This Row],[1]:[28]])</f>
        <v>15</v>
      </c>
    </row>
    <row r="606" spans="2:32" hidden="1" x14ac:dyDescent="0.3">
      <c r="B606">
        <v>55735</v>
      </c>
      <c r="C606">
        <v>2018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1</v>
      </c>
      <c r="O606">
        <v>0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1</v>
      </c>
      <c r="V606">
        <v>1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1</v>
      </c>
      <c r="AF606">
        <f>SUM(q2_raw[[#This Row],[1]:[28]])</f>
        <v>13</v>
      </c>
    </row>
    <row r="607" spans="2:32" hidden="1" x14ac:dyDescent="0.3">
      <c r="B607">
        <v>50272</v>
      </c>
      <c r="C607">
        <v>2018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1</v>
      </c>
      <c r="R607">
        <v>1</v>
      </c>
      <c r="S607">
        <v>0</v>
      </c>
      <c r="T607">
        <v>1</v>
      </c>
      <c r="U607">
        <v>0</v>
      </c>
      <c r="V607">
        <v>1</v>
      </c>
      <c r="W607">
        <v>1</v>
      </c>
      <c r="X607">
        <v>1</v>
      </c>
      <c r="Y607">
        <v>0</v>
      </c>
      <c r="Z607">
        <v>1</v>
      </c>
      <c r="AA607">
        <v>1</v>
      </c>
      <c r="AB607">
        <v>0</v>
      </c>
      <c r="AC607">
        <v>1</v>
      </c>
      <c r="AD607">
        <v>1</v>
      </c>
      <c r="AE607">
        <v>0</v>
      </c>
      <c r="AF607">
        <f>SUM(q2_raw[[#This Row],[1]:[28]])</f>
        <v>15</v>
      </c>
    </row>
    <row r="608" spans="2:32" hidden="1" x14ac:dyDescent="0.3">
      <c r="B608">
        <v>58331</v>
      </c>
      <c r="C608">
        <v>2018</v>
      </c>
      <c r="D608">
        <v>0</v>
      </c>
      <c r="E608">
        <v>0</v>
      </c>
      <c r="F608">
        <v>1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0</v>
      </c>
      <c r="Y608">
        <v>1</v>
      </c>
      <c r="Z608">
        <v>0</v>
      </c>
      <c r="AA608">
        <v>1</v>
      </c>
      <c r="AB608">
        <v>0</v>
      </c>
      <c r="AC608">
        <v>1</v>
      </c>
      <c r="AD608">
        <v>1</v>
      </c>
      <c r="AE608">
        <v>1</v>
      </c>
      <c r="AF608">
        <f>SUM(q2_raw[[#This Row],[1]:[28]])</f>
        <v>14</v>
      </c>
    </row>
    <row r="609" spans="2:32" hidden="1" x14ac:dyDescent="0.3">
      <c r="B609">
        <v>40105</v>
      </c>
      <c r="C609">
        <v>2018</v>
      </c>
      <c r="D609">
        <v>1</v>
      </c>
      <c r="E609">
        <v>1</v>
      </c>
      <c r="F609">
        <v>1</v>
      </c>
      <c r="G609">
        <v>0</v>
      </c>
      <c r="H609">
        <v>1</v>
      </c>
      <c r="I609">
        <v>0</v>
      </c>
      <c r="J609">
        <v>1</v>
      </c>
      <c r="K609">
        <v>1</v>
      </c>
      <c r="L609">
        <v>1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1</v>
      </c>
      <c r="AD609">
        <v>0</v>
      </c>
      <c r="AE609">
        <v>1</v>
      </c>
      <c r="AF609">
        <f>SUM(q2_raw[[#This Row],[1]:[28]])</f>
        <v>13</v>
      </c>
    </row>
    <row r="610" spans="2:32" hidden="1" x14ac:dyDescent="0.3">
      <c r="B610">
        <v>31771</v>
      </c>
      <c r="C610">
        <v>2018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1</v>
      </c>
      <c r="P610">
        <v>0</v>
      </c>
      <c r="Q610">
        <v>1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f>SUM(q2_raw[[#This Row],[1]:[28]])</f>
        <v>8</v>
      </c>
    </row>
    <row r="611" spans="2:32" hidden="1" x14ac:dyDescent="0.3">
      <c r="B611">
        <v>22843</v>
      </c>
      <c r="C611">
        <v>2018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1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</v>
      </c>
      <c r="U611">
        <v>1</v>
      </c>
      <c r="V611">
        <v>0</v>
      </c>
      <c r="W611">
        <v>0</v>
      </c>
      <c r="X611">
        <v>1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1</v>
      </c>
      <c r="AE611">
        <v>0</v>
      </c>
      <c r="AF611">
        <f>SUM(q2_raw[[#This Row],[1]:[28]])</f>
        <v>13</v>
      </c>
    </row>
    <row r="612" spans="2:32" hidden="1" x14ac:dyDescent="0.3">
      <c r="B612">
        <v>63965</v>
      </c>
      <c r="C612">
        <v>2018</v>
      </c>
      <c r="D612">
        <v>1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0</v>
      </c>
      <c r="AC612">
        <v>1</v>
      </c>
      <c r="AD612">
        <v>1</v>
      </c>
      <c r="AE612">
        <v>0</v>
      </c>
      <c r="AF612">
        <f>SUM(q2_raw[[#This Row],[1]:[28]])</f>
        <v>15</v>
      </c>
    </row>
    <row r="613" spans="2:32" hidden="1" x14ac:dyDescent="0.3">
      <c r="B613">
        <v>90350</v>
      </c>
      <c r="C613">
        <v>2018</v>
      </c>
      <c r="D613">
        <v>1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1</v>
      </c>
      <c r="K613">
        <v>1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</v>
      </c>
      <c r="AE613">
        <v>0</v>
      </c>
      <c r="AF613">
        <f>SUM(q2_raw[[#This Row],[1]:[28]])</f>
        <v>11</v>
      </c>
    </row>
    <row r="614" spans="2:32" hidden="1" x14ac:dyDescent="0.3">
      <c r="B614">
        <v>29875</v>
      </c>
      <c r="C614">
        <v>2018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1</v>
      </c>
      <c r="J614">
        <v>0</v>
      </c>
      <c r="K614">
        <v>0</v>
      </c>
      <c r="L614">
        <v>1</v>
      </c>
      <c r="M614">
        <v>1</v>
      </c>
      <c r="N614">
        <v>0</v>
      </c>
      <c r="O614">
        <v>1</v>
      </c>
      <c r="P614">
        <v>0</v>
      </c>
      <c r="Q614">
        <v>1</v>
      </c>
      <c r="R614">
        <v>0</v>
      </c>
      <c r="S614">
        <v>0</v>
      </c>
      <c r="T614">
        <v>1</v>
      </c>
      <c r="U614">
        <v>0</v>
      </c>
      <c r="V614">
        <v>1</v>
      </c>
      <c r="W614">
        <v>0</v>
      </c>
      <c r="X614">
        <v>1</v>
      </c>
      <c r="Y614">
        <v>1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f>SUM(q2_raw[[#This Row],[1]:[28]])</f>
        <v>15</v>
      </c>
    </row>
    <row r="615" spans="2:32" hidden="1" x14ac:dyDescent="0.3">
      <c r="B615">
        <v>21743</v>
      </c>
      <c r="C615">
        <v>2018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0</v>
      </c>
      <c r="Q615">
        <v>1</v>
      </c>
      <c r="R615">
        <v>0</v>
      </c>
      <c r="S615">
        <v>0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f>SUM(q2_raw[[#This Row],[1]:[28]])</f>
        <v>16</v>
      </c>
    </row>
    <row r="616" spans="2:32" hidden="1" x14ac:dyDescent="0.3">
      <c r="B616">
        <v>40926</v>
      </c>
      <c r="C616">
        <v>2018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</v>
      </c>
      <c r="J616">
        <v>1</v>
      </c>
      <c r="K616">
        <v>1</v>
      </c>
      <c r="L616">
        <v>1</v>
      </c>
      <c r="M616">
        <v>0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1</v>
      </c>
      <c r="Z616">
        <v>0</v>
      </c>
      <c r="AA616">
        <v>0</v>
      </c>
      <c r="AB616">
        <v>1</v>
      </c>
      <c r="AC616">
        <v>0</v>
      </c>
      <c r="AD616">
        <v>1</v>
      </c>
      <c r="AE616">
        <v>1</v>
      </c>
      <c r="AF616">
        <f>SUM(q2_raw[[#This Row],[1]:[28]])</f>
        <v>15</v>
      </c>
    </row>
    <row r="617" spans="2:32" hidden="1" x14ac:dyDescent="0.3">
      <c r="B617">
        <v>99992</v>
      </c>
      <c r="C617">
        <v>2018</v>
      </c>
      <c r="D617">
        <v>0</v>
      </c>
      <c r="E617">
        <v>1</v>
      </c>
      <c r="F617">
        <v>1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1</v>
      </c>
      <c r="N617">
        <v>1</v>
      </c>
      <c r="O617">
        <v>1</v>
      </c>
      <c r="P617">
        <v>0</v>
      </c>
      <c r="Q617">
        <v>1</v>
      </c>
      <c r="R617">
        <v>1</v>
      </c>
      <c r="S617">
        <v>1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1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f>SUM(q2_raw[[#This Row],[1]:[28]])</f>
        <v>14</v>
      </c>
    </row>
    <row r="618" spans="2:32" hidden="1" x14ac:dyDescent="0.3">
      <c r="B618">
        <v>90626</v>
      </c>
      <c r="C618">
        <v>2018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f>SUM(q2_raw[[#This Row],[1]:[28]])</f>
        <v>8</v>
      </c>
    </row>
    <row r="619" spans="2:32" hidden="1" x14ac:dyDescent="0.3">
      <c r="B619">
        <v>14846</v>
      </c>
      <c r="C619">
        <v>2018</v>
      </c>
      <c r="D619">
        <v>0</v>
      </c>
      <c r="E619">
        <v>0</v>
      </c>
      <c r="F619">
        <v>1</v>
      </c>
      <c r="G619">
        <v>1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1</v>
      </c>
      <c r="Y619">
        <v>1</v>
      </c>
      <c r="Z619">
        <v>0</v>
      </c>
      <c r="AA619">
        <v>1</v>
      </c>
      <c r="AB619">
        <v>0</v>
      </c>
      <c r="AC619">
        <v>0</v>
      </c>
      <c r="AD619">
        <v>1</v>
      </c>
      <c r="AE619">
        <v>0</v>
      </c>
      <c r="AF619">
        <f>SUM(q2_raw[[#This Row],[1]:[28]])</f>
        <v>11</v>
      </c>
    </row>
    <row r="620" spans="2:32" hidden="1" x14ac:dyDescent="0.3">
      <c r="B620">
        <v>59342</v>
      </c>
      <c r="C620">
        <v>2018</v>
      </c>
      <c r="D620">
        <v>0</v>
      </c>
      <c r="E620">
        <v>0</v>
      </c>
      <c r="F620">
        <v>1</v>
      </c>
      <c r="G620">
        <v>1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1</v>
      </c>
      <c r="N620">
        <v>0</v>
      </c>
      <c r="O620">
        <v>1</v>
      </c>
      <c r="P620">
        <v>1</v>
      </c>
      <c r="Q620">
        <v>0</v>
      </c>
      <c r="R620">
        <v>0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1</v>
      </c>
      <c r="Y620">
        <v>1</v>
      </c>
      <c r="Z620">
        <v>0</v>
      </c>
      <c r="AA620">
        <v>1</v>
      </c>
      <c r="AB620">
        <v>0</v>
      </c>
      <c r="AC620">
        <v>1</v>
      </c>
      <c r="AD620">
        <v>1</v>
      </c>
      <c r="AE620">
        <v>1</v>
      </c>
      <c r="AF620">
        <f>SUM(q2_raw[[#This Row],[1]:[28]])</f>
        <v>16</v>
      </c>
    </row>
    <row r="621" spans="2:32" hidden="1" x14ac:dyDescent="0.3">
      <c r="B621">
        <v>37403</v>
      </c>
      <c r="C621">
        <v>2018</v>
      </c>
      <c r="D621">
        <v>0</v>
      </c>
      <c r="E621">
        <v>0</v>
      </c>
      <c r="F621">
        <v>0</v>
      </c>
      <c r="G621">
        <v>1</v>
      </c>
      <c r="H621">
        <v>1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1</v>
      </c>
      <c r="Y621">
        <v>1</v>
      </c>
      <c r="Z621">
        <v>1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f>SUM(q2_raw[[#This Row],[1]:[28]])</f>
        <v>10</v>
      </c>
    </row>
    <row r="622" spans="2:32" hidden="1" x14ac:dyDescent="0.3">
      <c r="B622">
        <v>65590</v>
      </c>
      <c r="C622">
        <v>2018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0</v>
      </c>
      <c r="O622">
        <v>1</v>
      </c>
      <c r="P622">
        <v>1</v>
      </c>
      <c r="Q622">
        <v>0</v>
      </c>
      <c r="R622">
        <v>1</v>
      </c>
      <c r="S622">
        <v>1</v>
      </c>
      <c r="T622">
        <v>0</v>
      </c>
      <c r="U622">
        <v>0</v>
      </c>
      <c r="V622">
        <v>1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f>SUM(q2_raw[[#This Row],[1]:[28]])</f>
        <v>11</v>
      </c>
    </row>
    <row r="623" spans="2:32" hidden="1" x14ac:dyDescent="0.3">
      <c r="B623">
        <v>57871</v>
      </c>
      <c r="C623">
        <v>2018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1</v>
      </c>
      <c r="Z623">
        <v>0</v>
      </c>
      <c r="AA623">
        <v>1</v>
      </c>
      <c r="AB623">
        <v>1</v>
      </c>
      <c r="AC623">
        <v>0</v>
      </c>
      <c r="AD623">
        <v>0</v>
      </c>
      <c r="AE623">
        <v>0</v>
      </c>
      <c r="AF623">
        <f>SUM(q2_raw[[#This Row],[1]:[28]])</f>
        <v>12</v>
      </c>
    </row>
    <row r="624" spans="2:32" hidden="1" x14ac:dyDescent="0.3">
      <c r="B624">
        <v>6226</v>
      </c>
      <c r="C624">
        <v>2018</v>
      </c>
      <c r="D624">
        <v>0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1</v>
      </c>
      <c r="AC624">
        <v>1</v>
      </c>
      <c r="AD624">
        <v>1</v>
      </c>
      <c r="AE624">
        <v>0</v>
      </c>
      <c r="AF624">
        <f>SUM(q2_raw[[#This Row],[1]:[28]])</f>
        <v>9</v>
      </c>
    </row>
    <row r="625" spans="2:32" hidden="1" x14ac:dyDescent="0.3">
      <c r="B625">
        <v>79172</v>
      </c>
      <c r="C625">
        <v>2018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1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1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1</v>
      </c>
      <c r="AF625">
        <f>SUM(q2_raw[[#This Row],[1]:[28]])</f>
        <v>11</v>
      </c>
    </row>
    <row r="626" spans="2:32" hidden="1" x14ac:dyDescent="0.3">
      <c r="B626">
        <v>48627</v>
      </c>
      <c r="C626">
        <v>2018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1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1</v>
      </c>
      <c r="Y626">
        <v>1</v>
      </c>
      <c r="Z626">
        <v>0</v>
      </c>
      <c r="AA626">
        <v>1</v>
      </c>
      <c r="AB626">
        <v>1</v>
      </c>
      <c r="AC626">
        <v>0</v>
      </c>
      <c r="AD626">
        <v>0</v>
      </c>
      <c r="AE626">
        <v>1</v>
      </c>
      <c r="AF626">
        <f>SUM(q2_raw[[#This Row],[1]:[28]])</f>
        <v>12</v>
      </c>
    </row>
    <row r="627" spans="2:32" hidden="1" x14ac:dyDescent="0.3">
      <c r="B627">
        <v>70498</v>
      </c>
      <c r="C627">
        <v>2018</v>
      </c>
      <c r="D627">
        <v>1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0</v>
      </c>
      <c r="O627">
        <v>1</v>
      </c>
      <c r="P627">
        <v>0</v>
      </c>
      <c r="Q627">
        <v>1</v>
      </c>
      <c r="R627">
        <v>0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1</v>
      </c>
      <c r="AD627">
        <v>0</v>
      </c>
      <c r="AE627">
        <v>1</v>
      </c>
      <c r="AF627">
        <f>SUM(q2_raw[[#This Row],[1]:[28]])</f>
        <v>17</v>
      </c>
    </row>
    <row r="628" spans="2:32" hidden="1" x14ac:dyDescent="0.3">
      <c r="B628">
        <v>88241</v>
      </c>
      <c r="C628">
        <v>2018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1</v>
      </c>
      <c r="AE628">
        <v>1</v>
      </c>
      <c r="AF628">
        <f>SUM(q2_raw[[#This Row],[1]:[28]])</f>
        <v>11</v>
      </c>
    </row>
    <row r="629" spans="2:32" hidden="1" x14ac:dyDescent="0.3">
      <c r="B629">
        <v>99565</v>
      </c>
      <c r="C629">
        <v>2018</v>
      </c>
      <c r="D629">
        <v>0</v>
      </c>
      <c r="E629">
        <v>1</v>
      </c>
      <c r="F629">
        <v>1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1</v>
      </c>
      <c r="AB629">
        <v>1</v>
      </c>
      <c r="AC629">
        <v>1</v>
      </c>
      <c r="AD629">
        <v>0</v>
      </c>
      <c r="AE629">
        <v>0</v>
      </c>
      <c r="AF629">
        <f>SUM(q2_raw[[#This Row],[1]:[28]])</f>
        <v>11</v>
      </c>
    </row>
    <row r="630" spans="2:32" hidden="1" x14ac:dyDescent="0.3">
      <c r="B630">
        <v>49424</v>
      </c>
      <c r="C630">
        <v>2018</v>
      </c>
      <c r="D630">
        <v>0</v>
      </c>
      <c r="E630">
        <v>1</v>
      </c>
      <c r="F630">
        <v>1</v>
      </c>
      <c r="G630">
        <v>0</v>
      </c>
      <c r="H630">
        <v>0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1</v>
      </c>
      <c r="O630">
        <v>1</v>
      </c>
      <c r="P630">
        <v>1</v>
      </c>
      <c r="Q630">
        <v>1</v>
      </c>
      <c r="R630">
        <v>0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0</v>
      </c>
      <c r="AA630">
        <v>0</v>
      </c>
      <c r="AB630">
        <v>1</v>
      </c>
      <c r="AC630">
        <v>1</v>
      </c>
      <c r="AD630">
        <v>1</v>
      </c>
      <c r="AE630">
        <v>0</v>
      </c>
      <c r="AF630">
        <f>SUM(q2_raw[[#This Row],[1]:[28]])</f>
        <v>18</v>
      </c>
    </row>
    <row r="631" spans="2:32" hidden="1" x14ac:dyDescent="0.3">
      <c r="B631">
        <v>52817</v>
      </c>
      <c r="C631">
        <v>2018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1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1</v>
      </c>
      <c r="AB631">
        <v>0</v>
      </c>
      <c r="AC631">
        <v>0</v>
      </c>
      <c r="AD631">
        <v>0</v>
      </c>
      <c r="AE631">
        <v>1</v>
      </c>
      <c r="AF631">
        <f>SUM(q2_raw[[#This Row],[1]:[28]])</f>
        <v>7</v>
      </c>
    </row>
    <row r="632" spans="2:32" hidden="1" x14ac:dyDescent="0.3">
      <c r="B632">
        <v>77204</v>
      </c>
      <c r="C632">
        <v>2018</v>
      </c>
      <c r="D632">
        <v>1</v>
      </c>
      <c r="E632">
        <v>0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1</v>
      </c>
      <c r="U632">
        <v>0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0</v>
      </c>
      <c r="AB632">
        <v>0</v>
      </c>
      <c r="AC632">
        <v>1</v>
      </c>
      <c r="AD632">
        <v>1</v>
      </c>
      <c r="AE632">
        <v>0</v>
      </c>
      <c r="AF632">
        <f>SUM(q2_raw[[#This Row],[1]:[28]])</f>
        <v>15</v>
      </c>
    </row>
    <row r="633" spans="2:32" hidden="1" x14ac:dyDescent="0.3">
      <c r="B633">
        <v>41976</v>
      </c>
      <c r="C633">
        <v>2018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1</v>
      </c>
      <c r="Y633">
        <v>0</v>
      </c>
      <c r="Z633">
        <v>0</v>
      </c>
      <c r="AA633">
        <v>1</v>
      </c>
      <c r="AB633">
        <v>1</v>
      </c>
      <c r="AC633">
        <v>0</v>
      </c>
      <c r="AD633">
        <v>1</v>
      </c>
      <c r="AE633">
        <v>1</v>
      </c>
      <c r="AF633">
        <f>SUM(q2_raw[[#This Row],[1]:[28]])</f>
        <v>9</v>
      </c>
    </row>
    <row r="634" spans="2:32" hidden="1" x14ac:dyDescent="0.3">
      <c r="B634">
        <v>72778</v>
      </c>
      <c r="C634">
        <v>2018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0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f>SUM(q2_raw[[#This Row],[1]:[28]])</f>
        <v>13</v>
      </c>
    </row>
    <row r="635" spans="2:32" hidden="1" x14ac:dyDescent="0.3">
      <c r="B635">
        <v>9027</v>
      </c>
      <c r="C635">
        <v>2018</v>
      </c>
      <c r="D635">
        <v>1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1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0</v>
      </c>
      <c r="AF635">
        <f>SUM(q2_raw[[#This Row],[1]:[28]])</f>
        <v>13</v>
      </c>
    </row>
    <row r="636" spans="2:32" hidden="1" x14ac:dyDescent="0.3">
      <c r="B636">
        <v>13928</v>
      </c>
      <c r="C636">
        <v>2018</v>
      </c>
      <c r="D636">
        <v>1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1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1</v>
      </c>
      <c r="X636">
        <v>1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1</v>
      </c>
      <c r="AE636">
        <v>1</v>
      </c>
      <c r="AF636">
        <f>SUM(q2_raw[[#This Row],[1]:[28]])</f>
        <v>11</v>
      </c>
    </row>
    <row r="637" spans="2:32" hidden="1" x14ac:dyDescent="0.3">
      <c r="B637">
        <v>70949</v>
      </c>
      <c r="C637">
        <v>2018</v>
      </c>
      <c r="D637">
        <v>1</v>
      </c>
      <c r="E637">
        <v>1</v>
      </c>
      <c r="F637">
        <v>1</v>
      </c>
      <c r="G637">
        <v>0</v>
      </c>
      <c r="H637">
        <v>1</v>
      </c>
      <c r="I637">
        <v>1</v>
      </c>
      <c r="J637">
        <v>0</v>
      </c>
      <c r="K637">
        <v>0</v>
      </c>
      <c r="L637">
        <v>1</v>
      </c>
      <c r="M637">
        <v>0</v>
      </c>
      <c r="N637">
        <v>1</v>
      </c>
      <c r="O637">
        <v>1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1</v>
      </c>
      <c r="Z637">
        <v>0</v>
      </c>
      <c r="AA637">
        <v>1</v>
      </c>
      <c r="AB637">
        <v>0</v>
      </c>
      <c r="AC637">
        <v>1</v>
      </c>
      <c r="AD637">
        <v>0</v>
      </c>
      <c r="AE637">
        <v>0</v>
      </c>
      <c r="AF637">
        <f>SUM(q2_raw[[#This Row],[1]:[28]])</f>
        <v>13</v>
      </c>
    </row>
    <row r="638" spans="2:32" hidden="1" x14ac:dyDescent="0.3">
      <c r="B638">
        <v>17982</v>
      </c>
      <c r="C638">
        <v>2018</v>
      </c>
      <c r="D638">
        <v>1</v>
      </c>
      <c r="E638">
        <v>1</v>
      </c>
      <c r="F638">
        <v>0</v>
      </c>
      <c r="G638">
        <v>1</v>
      </c>
      <c r="H638">
        <v>1</v>
      </c>
      <c r="I638">
        <v>0</v>
      </c>
      <c r="J638">
        <v>0</v>
      </c>
      <c r="K638">
        <v>0</v>
      </c>
      <c r="L638">
        <v>1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1</v>
      </c>
      <c r="AA638">
        <v>1</v>
      </c>
      <c r="AB638">
        <v>1</v>
      </c>
      <c r="AC638">
        <v>0</v>
      </c>
      <c r="AD638">
        <v>1</v>
      </c>
      <c r="AE638">
        <v>1</v>
      </c>
      <c r="AF638">
        <f>SUM(q2_raw[[#This Row],[1]:[28]])</f>
        <v>14</v>
      </c>
    </row>
    <row r="639" spans="2:32" hidden="1" x14ac:dyDescent="0.3">
      <c r="B639">
        <v>3042</v>
      </c>
      <c r="C639">
        <v>2018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1</v>
      </c>
      <c r="AB639">
        <v>1</v>
      </c>
      <c r="AC639">
        <v>1</v>
      </c>
      <c r="AD639">
        <v>0</v>
      </c>
      <c r="AE639">
        <v>1</v>
      </c>
      <c r="AF639">
        <f>SUM(q2_raw[[#This Row],[1]:[28]])</f>
        <v>13</v>
      </c>
    </row>
    <row r="640" spans="2:32" hidden="1" x14ac:dyDescent="0.3">
      <c r="B640">
        <v>53770</v>
      </c>
      <c r="C640">
        <v>2018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0</v>
      </c>
      <c r="V640">
        <v>1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f>SUM(q2_raw[[#This Row],[1]:[28]])</f>
        <v>10</v>
      </c>
    </row>
    <row r="641" spans="2:32" hidden="1" x14ac:dyDescent="0.3">
      <c r="B641">
        <v>30744</v>
      </c>
      <c r="C641">
        <v>2018</v>
      </c>
      <c r="D641">
        <v>0</v>
      </c>
      <c r="E641">
        <v>0</v>
      </c>
      <c r="F641">
        <v>1</v>
      </c>
      <c r="G641">
        <v>0</v>
      </c>
      <c r="H641">
        <v>1</v>
      </c>
      <c r="I641">
        <v>0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1</v>
      </c>
      <c r="V641">
        <v>1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  <c r="AE641">
        <v>0</v>
      </c>
      <c r="AF641">
        <f>SUM(q2_raw[[#This Row],[1]:[28]])</f>
        <v>17</v>
      </c>
    </row>
    <row r="642" spans="2:32" hidden="1" x14ac:dyDescent="0.3">
      <c r="B642">
        <v>38665</v>
      </c>
      <c r="C642">
        <v>2018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0</v>
      </c>
      <c r="M642">
        <v>0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1</v>
      </c>
      <c r="Z642">
        <v>1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f>SUM(q2_raw[[#This Row],[1]:[28]])</f>
        <v>15</v>
      </c>
    </row>
    <row r="643" spans="2:32" hidden="1" x14ac:dyDescent="0.3">
      <c r="B643">
        <v>31107</v>
      </c>
      <c r="C643">
        <v>2018</v>
      </c>
      <c r="D643">
        <v>0</v>
      </c>
      <c r="E643">
        <v>1</v>
      </c>
      <c r="F643">
        <v>1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1</v>
      </c>
      <c r="Q643">
        <v>1</v>
      </c>
      <c r="R643">
        <v>1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1</v>
      </c>
      <c r="AB643">
        <v>1</v>
      </c>
      <c r="AC643">
        <v>0</v>
      </c>
      <c r="AD643">
        <v>0</v>
      </c>
      <c r="AE643">
        <v>0</v>
      </c>
      <c r="AF643">
        <f>SUM(q2_raw[[#This Row],[1]:[28]])</f>
        <v>13</v>
      </c>
    </row>
    <row r="644" spans="2:32" hidden="1" x14ac:dyDescent="0.3">
      <c r="B644">
        <v>35556</v>
      </c>
      <c r="C644">
        <v>2018</v>
      </c>
      <c r="D644">
        <v>0</v>
      </c>
      <c r="E644">
        <v>1</v>
      </c>
      <c r="F644">
        <v>0</v>
      </c>
      <c r="G644">
        <v>1</v>
      </c>
      <c r="H644">
        <v>1</v>
      </c>
      <c r="I644">
        <v>0</v>
      </c>
      <c r="J644">
        <v>0</v>
      </c>
      <c r="K644">
        <v>1</v>
      </c>
      <c r="L644">
        <v>0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1</v>
      </c>
      <c r="S644">
        <v>0</v>
      </c>
      <c r="T644">
        <v>1</v>
      </c>
      <c r="U644">
        <v>1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f>SUM(q2_raw[[#This Row],[1]:[28]])</f>
        <v>10</v>
      </c>
    </row>
    <row r="645" spans="2:32" hidden="1" x14ac:dyDescent="0.3">
      <c r="B645">
        <v>36168</v>
      </c>
      <c r="C645">
        <v>2018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1</v>
      </c>
      <c r="AF645">
        <f>SUM(q2_raw[[#This Row],[1]:[28]])</f>
        <v>9</v>
      </c>
    </row>
    <row r="646" spans="2:32" hidden="1" x14ac:dyDescent="0.3">
      <c r="B646">
        <v>85388</v>
      </c>
      <c r="C646">
        <v>2018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f>SUM(q2_raw[[#This Row],[1]:[28]])</f>
        <v>13</v>
      </c>
    </row>
    <row r="647" spans="2:32" hidden="1" x14ac:dyDescent="0.3">
      <c r="B647">
        <v>32657</v>
      </c>
      <c r="C647">
        <v>2018</v>
      </c>
      <c r="D647">
        <v>1</v>
      </c>
      <c r="E647">
        <v>1</v>
      </c>
      <c r="F647">
        <v>1</v>
      </c>
      <c r="G647">
        <v>0</v>
      </c>
      <c r="H647">
        <v>0</v>
      </c>
      <c r="I647">
        <v>1</v>
      </c>
      <c r="J647">
        <v>1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1</v>
      </c>
      <c r="U647">
        <v>0</v>
      </c>
      <c r="V647">
        <v>1</v>
      </c>
      <c r="W647">
        <v>0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1</v>
      </c>
      <c r="AD647">
        <v>1</v>
      </c>
      <c r="AE647">
        <v>0</v>
      </c>
      <c r="AF647">
        <f>SUM(q2_raw[[#This Row],[1]:[28]])</f>
        <v>15</v>
      </c>
    </row>
    <row r="648" spans="2:32" hidden="1" x14ac:dyDescent="0.3">
      <c r="B648">
        <v>13595</v>
      </c>
      <c r="C648">
        <v>2018</v>
      </c>
      <c r="D648">
        <v>0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1</v>
      </c>
      <c r="U648">
        <v>1</v>
      </c>
      <c r="V648">
        <v>1</v>
      </c>
      <c r="W648">
        <v>0</v>
      </c>
      <c r="X648">
        <v>1</v>
      </c>
      <c r="Y648">
        <v>0</v>
      </c>
      <c r="Z648">
        <v>1</v>
      </c>
      <c r="AA648">
        <v>0</v>
      </c>
      <c r="AB648">
        <v>1</v>
      </c>
      <c r="AC648">
        <v>1</v>
      </c>
      <c r="AD648">
        <v>1</v>
      </c>
      <c r="AE648">
        <v>0</v>
      </c>
      <c r="AF648">
        <f>SUM(q2_raw[[#This Row],[1]:[28]])</f>
        <v>12</v>
      </c>
    </row>
    <row r="649" spans="2:32" hidden="1" x14ac:dyDescent="0.3">
      <c r="B649">
        <v>82801</v>
      </c>
      <c r="C649">
        <v>2018</v>
      </c>
      <c r="D649">
        <v>0</v>
      </c>
      <c r="E649">
        <v>1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1</v>
      </c>
      <c r="W649">
        <v>1</v>
      </c>
      <c r="X649">
        <v>0</v>
      </c>
      <c r="Y649">
        <v>1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1</v>
      </c>
      <c r="AF649">
        <f>SUM(q2_raw[[#This Row],[1]:[28]])</f>
        <v>12</v>
      </c>
    </row>
    <row r="650" spans="2:32" hidden="1" x14ac:dyDescent="0.3">
      <c r="B650">
        <v>3066</v>
      </c>
      <c r="C650">
        <v>2018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1</v>
      </c>
      <c r="Y650">
        <v>1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f>SUM(q2_raw[[#This Row],[1]:[28]])</f>
        <v>11</v>
      </c>
    </row>
    <row r="651" spans="2:32" hidden="1" x14ac:dyDescent="0.3">
      <c r="B651">
        <v>3238</v>
      </c>
      <c r="C651">
        <v>2018</v>
      </c>
      <c r="D651">
        <v>1</v>
      </c>
      <c r="E651">
        <v>0</v>
      </c>
      <c r="F651">
        <v>0</v>
      </c>
      <c r="G651">
        <v>0</v>
      </c>
      <c r="H651">
        <v>1</v>
      </c>
      <c r="I651">
        <v>1</v>
      </c>
      <c r="J651">
        <v>0</v>
      </c>
      <c r="K651">
        <v>0</v>
      </c>
      <c r="L651">
        <v>1</v>
      </c>
      <c r="M651">
        <v>0</v>
      </c>
      <c r="N651">
        <v>1</v>
      </c>
      <c r="O651">
        <v>1</v>
      </c>
      <c r="P651">
        <v>0</v>
      </c>
      <c r="Q651">
        <v>0</v>
      </c>
      <c r="R651">
        <v>1</v>
      </c>
      <c r="S651">
        <v>1</v>
      </c>
      <c r="T651">
        <v>1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1</v>
      </c>
      <c r="AB651">
        <v>0</v>
      </c>
      <c r="AC651">
        <v>0</v>
      </c>
      <c r="AD651">
        <v>1</v>
      </c>
      <c r="AE651">
        <v>1</v>
      </c>
      <c r="AF651">
        <f>SUM(q2_raw[[#This Row],[1]:[28]])</f>
        <v>15</v>
      </c>
    </row>
    <row r="652" spans="2:32" hidden="1" x14ac:dyDescent="0.3">
      <c r="B652">
        <v>75073</v>
      </c>
      <c r="C652">
        <v>2018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1</v>
      </c>
      <c r="M652">
        <v>0</v>
      </c>
      <c r="N652">
        <v>1</v>
      </c>
      <c r="O652">
        <v>0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1</v>
      </c>
      <c r="AD652">
        <v>0</v>
      </c>
      <c r="AE652">
        <v>0</v>
      </c>
      <c r="AF652">
        <f>SUM(q2_raw[[#This Row],[1]:[28]])</f>
        <v>10</v>
      </c>
    </row>
    <row r="653" spans="2:32" hidden="1" x14ac:dyDescent="0.3">
      <c r="B653">
        <v>74526</v>
      </c>
      <c r="C653">
        <v>2018</v>
      </c>
      <c r="D653">
        <v>1</v>
      </c>
      <c r="E653">
        <v>1</v>
      </c>
      <c r="F653">
        <v>0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1</v>
      </c>
      <c r="P653">
        <v>1</v>
      </c>
      <c r="Q653">
        <v>1</v>
      </c>
      <c r="R653">
        <v>0</v>
      </c>
      <c r="S653">
        <v>1</v>
      </c>
      <c r="T653">
        <v>1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f>SUM(q2_raw[[#This Row],[1]:[28]])</f>
        <v>14</v>
      </c>
    </row>
    <row r="654" spans="2:32" hidden="1" x14ac:dyDescent="0.3">
      <c r="B654">
        <v>34742</v>
      </c>
      <c r="C654">
        <v>2018</v>
      </c>
      <c r="D654">
        <v>1</v>
      </c>
      <c r="E654">
        <v>1</v>
      </c>
      <c r="F654">
        <v>1</v>
      </c>
      <c r="G654">
        <v>1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1</v>
      </c>
      <c r="AC654">
        <v>1</v>
      </c>
      <c r="AD654">
        <v>0</v>
      </c>
      <c r="AE654">
        <v>0</v>
      </c>
      <c r="AF654">
        <f>SUM(q2_raw[[#This Row],[1]:[28]])</f>
        <v>10</v>
      </c>
    </row>
    <row r="655" spans="2:32" hidden="1" x14ac:dyDescent="0.3">
      <c r="B655">
        <v>82221</v>
      </c>
      <c r="C655">
        <v>2018</v>
      </c>
      <c r="D655">
        <v>1</v>
      </c>
      <c r="E655">
        <v>0</v>
      </c>
      <c r="F655">
        <v>1</v>
      </c>
      <c r="G655">
        <v>1</v>
      </c>
      <c r="H655">
        <v>0</v>
      </c>
      <c r="I655">
        <v>0</v>
      </c>
      <c r="J655">
        <v>1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1</v>
      </c>
      <c r="Y655">
        <v>1</v>
      </c>
      <c r="Z655">
        <v>1</v>
      </c>
      <c r="AA655">
        <v>0</v>
      </c>
      <c r="AB655">
        <v>1</v>
      </c>
      <c r="AC655">
        <v>1</v>
      </c>
      <c r="AD655">
        <v>1</v>
      </c>
      <c r="AE655">
        <v>0</v>
      </c>
      <c r="AF655">
        <f>SUM(q2_raw[[#This Row],[1]:[28]])</f>
        <v>14</v>
      </c>
    </row>
    <row r="656" spans="2:32" hidden="1" x14ac:dyDescent="0.3">
      <c r="B656">
        <v>55675</v>
      </c>
      <c r="C656">
        <v>2018</v>
      </c>
      <c r="D656">
        <v>0</v>
      </c>
      <c r="E656">
        <v>0</v>
      </c>
      <c r="F656">
        <v>1</v>
      </c>
      <c r="G656">
        <v>0</v>
      </c>
      <c r="H656">
        <v>1</v>
      </c>
      <c r="I656">
        <v>0</v>
      </c>
      <c r="J656">
        <v>1</v>
      </c>
      <c r="K656">
        <v>1</v>
      </c>
      <c r="L656">
        <v>0</v>
      </c>
      <c r="M656">
        <v>1</v>
      </c>
      <c r="N656">
        <v>0</v>
      </c>
      <c r="O656">
        <v>1</v>
      </c>
      <c r="P656">
        <v>0</v>
      </c>
      <c r="Q656">
        <v>1</v>
      </c>
      <c r="R656">
        <v>1</v>
      </c>
      <c r="S656">
        <v>1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1</v>
      </c>
      <c r="AE656">
        <v>1</v>
      </c>
      <c r="AF656">
        <f>SUM(q2_raw[[#This Row],[1]:[28]])</f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6C9B-708D-4F28-95D2-78A202FD992B}">
  <dimension ref="B2:O32"/>
  <sheetViews>
    <sheetView tabSelected="1" workbookViewId="0">
      <selection activeCell="D33" sqref="D33"/>
    </sheetView>
  </sheetViews>
  <sheetFormatPr defaultRowHeight="14.4" x14ac:dyDescent="0.3"/>
  <cols>
    <col min="2" max="3" width="12.77734375" customWidth="1"/>
  </cols>
  <sheetData>
    <row r="2" spans="2:15" ht="28.8" x14ac:dyDescent="0.3">
      <c r="B2" s="14" t="s">
        <v>377</v>
      </c>
      <c r="C2" s="14" t="s">
        <v>378</v>
      </c>
      <c r="D2">
        <v>0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</row>
    <row r="3" spans="2:15" x14ac:dyDescent="0.3">
      <c r="B3" s="13">
        <v>42736</v>
      </c>
      <c r="C3" s="7">
        <v>500</v>
      </c>
      <c r="D3" s="7">
        <v>500</v>
      </c>
      <c r="E3" s="7">
        <v>480</v>
      </c>
      <c r="F3" s="7">
        <v>460</v>
      </c>
      <c r="G3" s="7">
        <v>450</v>
      </c>
      <c r="H3" s="7">
        <v>400</v>
      </c>
      <c r="I3" s="7">
        <v>330</v>
      </c>
      <c r="J3" s="7">
        <v>200</v>
      </c>
      <c r="K3" s="7">
        <v>150</v>
      </c>
      <c r="L3" s="7">
        <v>100</v>
      </c>
      <c r="M3" s="7">
        <v>90</v>
      </c>
      <c r="N3" s="7">
        <v>50</v>
      </c>
      <c r="O3" s="7">
        <v>10</v>
      </c>
    </row>
    <row r="4" spans="2:15" x14ac:dyDescent="0.3">
      <c r="B4" s="13">
        <v>42767</v>
      </c>
      <c r="C4" s="7">
        <v>540</v>
      </c>
      <c r="D4" s="7">
        <v>540</v>
      </c>
      <c r="E4" s="7">
        <v>500</v>
      </c>
      <c r="F4" s="7">
        <v>460</v>
      </c>
      <c r="G4" s="7">
        <v>430</v>
      </c>
      <c r="H4" s="7">
        <v>300</v>
      </c>
      <c r="I4" s="7">
        <v>190</v>
      </c>
      <c r="J4" s="7">
        <v>150</v>
      </c>
      <c r="K4" s="7">
        <v>100</v>
      </c>
      <c r="L4" s="7">
        <v>100</v>
      </c>
      <c r="M4" s="7">
        <v>60</v>
      </c>
      <c r="N4" s="7">
        <v>20</v>
      </c>
      <c r="O4" s="7"/>
    </row>
    <row r="5" spans="2:15" x14ac:dyDescent="0.3">
      <c r="B5" s="13">
        <v>42795</v>
      </c>
      <c r="C5" s="7">
        <v>650</v>
      </c>
      <c r="D5" s="7">
        <v>650</v>
      </c>
      <c r="E5" s="7">
        <v>600</v>
      </c>
      <c r="F5" s="7">
        <v>590</v>
      </c>
      <c r="G5" s="7">
        <v>550</v>
      </c>
      <c r="H5" s="7">
        <v>500</v>
      </c>
      <c r="I5" s="7">
        <v>460</v>
      </c>
      <c r="J5" s="7">
        <v>300</v>
      </c>
      <c r="K5" s="7">
        <v>200</v>
      </c>
      <c r="L5" s="7">
        <v>100</v>
      </c>
      <c r="M5" s="7">
        <v>50</v>
      </c>
      <c r="N5" s="7"/>
      <c r="O5" s="7"/>
    </row>
    <row r="6" spans="2:15" x14ac:dyDescent="0.3">
      <c r="B6" s="13">
        <v>42826</v>
      </c>
      <c r="C6" s="7">
        <v>630</v>
      </c>
      <c r="D6" s="7">
        <v>630</v>
      </c>
      <c r="E6" s="7">
        <v>589</v>
      </c>
      <c r="F6" s="7">
        <v>500</v>
      </c>
      <c r="G6" s="7">
        <v>470</v>
      </c>
      <c r="H6" s="7">
        <v>440</v>
      </c>
      <c r="I6" s="7">
        <v>400</v>
      </c>
      <c r="J6" s="7">
        <v>300</v>
      </c>
      <c r="K6" s="7">
        <v>150</v>
      </c>
      <c r="L6" s="7">
        <v>100</v>
      </c>
      <c r="M6" s="7"/>
      <c r="N6" s="7"/>
      <c r="O6" s="7"/>
    </row>
    <row r="7" spans="2:15" x14ac:dyDescent="0.3">
      <c r="B7" s="13">
        <v>42856</v>
      </c>
      <c r="C7" s="7">
        <v>590</v>
      </c>
      <c r="D7" s="7">
        <v>590</v>
      </c>
      <c r="E7" s="7">
        <v>570</v>
      </c>
      <c r="F7" s="7">
        <v>550</v>
      </c>
      <c r="G7" s="7">
        <v>520</v>
      </c>
      <c r="H7" s="7">
        <v>500</v>
      </c>
      <c r="I7" s="7">
        <v>400</v>
      </c>
      <c r="J7" s="7">
        <v>350</v>
      </c>
      <c r="K7" s="7">
        <v>290</v>
      </c>
      <c r="L7" s="7"/>
      <c r="M7" s="7"/>
      <c r="N7" s="7"/>
      <c r="O7" s="7"/>
    </row>
    <row r="8" spans="2:15" x14ac:dyDescent="0.3">
      <c r="B8" s="13">
        <v>42887</v>
      </c>
      <c r="C8" s="7">
        <v>670</v>
      </c>
      <c r="D8" s="7">
        <v>670</v>
      </c>
      <c r="E8" s="7">
        <v>650</v>
      </c>
      <c r="F8" s="7">
        <v>620</v>
      </c>
      <c r="G8" s="7">
        <v>540</v>
      </c>
      <c r="H8" s="7">
        <v>520</v>
      </c>
      <c r="I8" s="7">
        <v>500</v>
      </c>
      <c r="J8" s="7">
        <v>370</v>
      </c>
      <c r="K8" s="7"/>
      <c r="L8" s="7"/>
      <c r="M8" s="7"/>
      <c r="N8" s="7"/>
      <c r="O8" s="7"/>
    </row>
    <row r="9" spans="2:15" x14ac:dyDescent="0.3">
      <c r="B9" s="13">
        <v>42917</v>
      </c>
      <c r="C9" s="7">
        <v>640</v>
      </c>
      <c r="D9" s="7">
        <v>640</v>
      </c>
      <c r="E9" s="7">
        <v>620</v>
      </c>
      <c r="F9" s="7">
        <v>580</v>
      </c>
      <c r="G9" s="7">
        <v>550</v>
      </c>
      <c r="H9" s="7">
        <v>510</v>
      </c>
      <c r="I9" s="7">
        <v>440</v>
      </c>
      <c r="J9" s="7"/>
      <c r="K9" s="7"/>
      <c r="L9" s="7"/>
      <c r="M9" s="7"/>
      <c r="N9" s="7"/>
      <c r="O9" s="7"/>
    </row>
    <row r="10" spans="2:15" x14ac:dyDescent="0.3">
      <c r="B10" s="13">
        <v>42948</v>
      </c>
      <c r="C10" s="7">
        <v>700</v>
      </c>
      <c r="D10" s="7">
        <v>700</v>
      </c>
      <c r="E10" s="7">
        <v>670</v>
      </c>
      <c r="F10" s="7">
        <v>633</v>
      </c>
      <c r="G10" s="7">
        <v>599</v>
      </c>
      <c r="H10" s="7">
        <v>550</v>
      </c>
      <c r="I10" s="7"/>
      <c r="J10" s="7"/>
      <c r="K10" s="7"/>
      <c r="L10" s="7"/>
      <c r="M10" s="7"/>
      <c r="N10" s="7"/>
      <c r="O10" s="7"/>
    </row>
    <row r="11" spans="2:15" x14ac:dyDescent="0.3">
      <c r="B11" s="13">
        <v>42979</v>
      </c>
      <c r="C11" s="7">
        <v>720</v>
      </c>
      <c r="D11" s="7">
        <v>720</v>
      </c>
      <c r="E11" s="7">
        <v>700</v>
      </c>
      <c r="F11" s="7">
        <v>660</v>
      </c>
      <c r="G11" s="7">
        <v>590</v>
      </c>
      <c r="H11" s="7"/>
      <c r="I11" s="7"/>
      <c r="J11" s="7"/>
      <c r="K11" s="7"/>
      <c r="L11" s="7"/>
      <c r="M11" s="7"/>
      <c r="N11" s="7"/>
      <c r="O11" s="7"/>
    </row>
    <row r="12" spans="2:15" x14ac:dyDescent="0.3">
      <c r="B12" s="13">
        <v>43009</v>
      </c>
      <c r="C12" s="7">
        <v>650</v>
      </c>
      <c r="D12" s="7">
        <v>650</v>
      </c>
      <c r="E12" s="7">
        <v>610</v>
      </c>
      <c r="F12" s="7">
        <v>590</v>
      </c>
      <c r="G12" s="7"/>
      <c r="H12" s="7"/>
      <c r="I12" s="7"/>
      <c r="J12" s="7"/>
      <c r="K12" s="7"/>
      <c r="L12" s="7"/>
      <c r="M12" s="7"/>
      <c r="N12" s="7"/>
      <c r="O12" s="7"/>
    </row>
    <row r="13" spans="2:15" x14ac:dyDescent="0.3">
      <c r="B13" s="13">
        <v>43040</v>
      </c>
      <c r="C13" s="7">
        <v>790</v>
      </c>
      <c r="D13" s="7">
        <v>790</v>
      </c>
      <c r="E13" s="7">
        <v>760</v>
      </c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2:15" x14ac:dyDescent="0.3">
      <c r="B14" s="13">
        <v>43070</v>
      </c>
      <c r="C14" s="7">
        <v>800</v>
      </c>
      <c r="D14" s="7">
        <v>800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2:15" x14ac:dyDescent="0.3">
      <c r="B15" s="16"/>
      <c r="C15" s="18">
        <f>SUM(C3:C14)</f>
        <v>7880</v>
      </c>
      <c r="D15" s="18">
        <f t="shared" ref="D15:O15" si="0">SUM(D3:D14)</f>
        <v>7880</v>
      </c>
      <c r="E15" s="18">
        <f t="shared" si="0"/>
        <v>6749</v>
      </c>
      <c r="F15" s="18">
        <f t="shared" si="0"/>
        <v>5643</v>
      </c>
      <c r="G15" s="18">
        <f t="shared" si="0"/>
        <v>4699</v>
      </c>
      <c r="H15" s="18">
        <f t="shared" si="0"/>
        <v>3720</v>
      </c>
      <c r="I15" s="18">
        <f t="shared" si="0"/>
        <v>2720</v>
      </c>
      <c r="J15" s="18">
        <f t="shared" si="0"/>
        <v>1670</v>
      </c>
      <c r="K15" s="18">
        <f t="shared" si="0"/>
        <v>890</v>
      </c>
      <c r="L15" s="18">
        <f t="shared" si="0"/>
        <v>400</v>
      </c>
      <c r="M15" s="18">
        <f t="shared" si="0"/>
        <v>200</v>
      </c>
      <c r="N15" s="18">
        <f t="shared" si="0"/>
        <v>70</v>
      </c>
      <c r="O15" s="18">
        <f t="shared" si="0"/>
        <v>10</v>
      </c>
    </row>
    <row r="17" spans="2:15" ht="28.8" x14ac:dyDescent="0.3">
      <c r="B17" s="14" t="s">
        <v>377</v>
      </c>
      <c r="D17">
        <v>0</v>
      </c>
      <c r="E17">
        <v>1</v>
      </c>
      <c r="F17">
        <v>2</v>
      </c>
      <c r="G17">
        <v>3</v>
      </c>
      <c r="H17">
        <v>4</v>
      </c>
      <c r="I17">
        <v>5</v>
      </c>
      <c r="J17">
        <v>6</v>
      </c>
      <c r="K17">
        <v>7</v>
      </c>
      <c r="L17">
        <v>8</v>
      </c>
      <c r="M17">
        <v>9</v>
      </c>
      <c r="N17">
        <v>10</v>
      </c>
      <c r="O17">
        <v>11</v>
      </c>
    </row>
    <row r="18" spans="2:15" x14ac:dyDescent="0.3">
      <c r="B18" s="20">
        <v>42736</v>
      </c>
      <c r="C18" cm="1">
        <f t="array" ref="C18:C29">C3:C14</f>
        <v>500</v>
      </c>
      <c r="D18" s="15">
        <f>D3/$C18</f>
        <v>1</v>
      </c>
      <c r="E18" s="15">
        <f t="shared" ref="E18:O18" si="1">E3/$C18</f>
        <v>0.96</v>
      </c>
      <c r="F18" s="15">
        <f t="shared" si="1"/>
        <v>0.92</v>
      </c>
      <c r="G18" s="15">
        <f t="shared" si="1"/>
        <v>0.9</v>
      </c>
      <c r="H18" s="15">
        <f t="shared" si="1"/>
        <v>0.8</v>
      </c>
      <c r="I18" s="15">
        <f t="shared" si="1"/>
        <v>0.66</v>
      </c>
      <c r="J18" s="15">
        <f t="shared" si="1"/>
        <v>0.4</v>
      </c>
      <c r="K18" s="15">
        <f t="shared" si="1"/>
        <v>0.3</v>
      </c>
      <c r="L18" s="15">
        <f t="shared" si="1"/>
        <v>0.2</v>
      </c>
      <c r="M18" s="15">
        <f t="shared" si="1"/>
        <v>0.18</v>
      </c>
      <c r="N18" s="15">
        <f t="shared" si="1"/>
        <v>0.1</v>
      </c>
      <c r="O18" s="15">
        <f t="shared" si="1"/>
        <v>0.02</v>
      </c>
    </row>
    <row r="19" spans="2:15" x14ac:dyDescent="0.3">
      <c r="B19" s="20">
        <v>42767</v>
      </c>
      <c r="C19">
        <v>540</v>
      </c>
      <c r="D19" s="15">
        <f t="shared" ref="D19:N19" si="2">D4/$C19</f>
        <v>1</v>
      </c>
      <c r="E19" s="15">
        <f t="shared" si="2"/>
        <v>0.92592592592592593</v>
      </c>
      <c r="F19" s="15">
        <f t="shared" si="2"/>
        <v>0.85185185185185186</v>
      </c>
      <c r="G19" s="15">
        <f t="shared" si="2"/>
        <v>0.79629629629629628</v>
      </c>
      <c r="H19" s="15">
        <f t="shared" si="2"/>
        <v>0.55555555555555558</v>
      </c>
      <c r="I19" s="15">
        <f t="shared" si="2"/>
        <v>0.35185185185185186</v>
      </c>
      <c r="J19" s="15">
        <f t="shared" si="2"/>
        <v>0.27777777777777779</v>
      </c>
      <c r="K19" s="15">
        <f t="shared" si="2"/>
        <v>0.18518518518518517</v>
      </c>
      <c r="L19" s="15">
        <f t="shared" si="2"/>
        <v>0.18518518518518517</v>
      </c>
      <c r="M19" s="15">
        <f t="shared" si="2"/>
        <v>0.1111111111111111</v>
      </c>
      <c r="N19" s="15">
        <f t="shared" si="2"/>
        <v>3.7037037037037035E-2</v>
      </c>
      <c r="O19" s="15"/>
    </row>
    <row r="20" spans="2:15" x14ac:dyDescent="0.3">
      <c r="B20" s="20">
        <v>42795</v>
      </c>
      <c r="C20">
        <v>650</v>
      </c>
      <c r="D20" s="15">
        <f t="shared" ref="D20:M20" si="3">D5/$C20</f>
        <v>1</v>
      </c>
      <c r="E20" s="15">
        <f t="shared" si="3"/>
        <v>0.92307692307692313</v>
      </c>
      <c r="F20" s="15">
        <f t="shared" si="3"/>
        <v>0.90769230769230769</v>
      </c>
      <c r="G20" s="15">
        <f t="shared" si="3"/>
        <v>0.84615384615384615</v>
      </c>
      <c r="H20" s="15">
        <f t="shared" si="3"/>
        <v>0.76923076923076927</v>
      </c>
      <c r="I20" s="15">
        <f t="shared" si="3"/>
        <v>0.70769230769230773</v>
      </c>
      <c r="J20" s="15">
        <f t="shared" si="3"/>
        <v>0.46153846153846156</v>
      </c>
      <c r="K20" s="15">
        <f t="shared" si="3"/>
        <v>0.30769230769230771</v>
      </c>
      <c r="L20" s="15">
        <f t="shared" si="3"/>
        <v>0.15384615384615385</v>
      </c>
      <c r="M20" s="15">
        <f t="shared" si="3"/>
        <v>7.6923076923076927E-2</v>
      </c>
      <c r="N20" s="15"/>
      <c r="O20" s="15"/>
    </row>
    <row r="21" spans="2:15" x14ac:dyDescent="0.3">
      <c r="B21" s="20">
        <v>42826</v>
      </c>
      <c r="C21">
        <v>630</v>
      </c>
      <c r="D21" s="15">
        <f t="shared" ref="D21:L21" si="4">D6/$C21</f>
        <v>1</v>
      </c>
      <c r="E21" s="15">
        <f t="shared" si="4"/>
        <v>0.93492063492063493</v>
      </c>
      <c r="F21" s="15">
        <f t="shared" si="4"/>
        <v>0.79365079365079361</v>
      </c>
      <c r="G21" s="15">
        <f t="shared" si="4"/>
        <v>0.74603174603174605</v>
      </c>
      <c r="H21" s="15">
        <f t="shared" si="4"/>
        <v>0.69841269841269837</v>
      </c>
      <c r="I21" s="15">
        <f t="shared" si="4"/>
        <v>0.63492063492063489</v>
      </c>
      <c r="J21" s="15">
        <f t="shared" si="4"/>
        <v>0.47619047619047616</v>
      </c>
      <c r="K21" s="15">
        <f t="shared" si="4"/>
        <v>0.23809523809523808</v>
      </c>
      <c r="L21" s="15">
        <f t="shared" si="4"/>
        <v>0.15873015873015872</v>
      </c>
      <c r="M21" s="15"/>
      <c r="N21" s="15"/>
      <c r="O21" s="15"/>
    </row>
    <row r="22" spans="2:15" x14ac:dyDescent="0.3">
      <c r="B22" s="20">
        <v>42856</v>
      </c>
      <c r="C22">
        <v>590</v>
      </c>
      <c r="D22" s="15">
        <f t="shared" ref="D22:K22" si="5">D7/$C22</f>
        <v>1</v>
      </c>
      <c r="E22" s="15">
        <f t="shared" si="5"/>
        <v>0.96610169491525422</v>
      </c>
      <c r="F22" s="15">
        <f t="shared" si="5"/>
        <v>0.93220338983050843</v>
      </c>
      <c r="G22" s="15">
        <f t="shared" si="5"/>
        <v>0.88135593220338981</v>
      </c>
      <c r="H22" s="15">
        <f t="shared" si="5"/>
        <v>0.84745762711864403</v>
      </c>
      <c r="I22" s="15">
        <f t="shared" si="5"/>
        <v>0.67796610169491522</v>
      </c>
      <c r="J22" s="15">
        <f t="shared" si="5"/>
        <v>0.59322033898305082</v>
      </c>
      <c r="K22" s="15">
        <f t="shared" si="5"/>
        <v>0.49152542372881358</v>
      </c>
      <c r="L22" s="15"/>
      <c r="M22" s="15"/>
      <c r="N22" s="15"/>
      <c r="O22" s="15"/>
    </row>
    <row r="23" spans="2:15" x14ac:dyDescent="0.3">
      <c r="B23" s="20">
        <v>42887</v>
      </c>
      <c r="C23">
        <v>670</v>
      </c>
      <c r="D23" s="15">
        <f t="shared" ref="D23:J23" si="6">D8/$C23</f>
        <v>1</v>
      </c>
      <c r="E23" s="15">
        <f t="shared" si="6"/>
        <v>0.97014925373134331</v>
      </c>
      <c r="F23" s="15">
        <f t="shared" si="6"/>
        <v>0.92537313432835822</v>
      </c>
      <c r="G23" s="15">
        <f t="shared" si="6"/>
        <v>0.80597014925373134</v>
      </c>
      <c r="H23" s="15">
        <f t="shared" si="6"/>
        <v>0.77611940298507465</v>
      </c>
      <c r="I23" s="15">
        <f t="shared" si="6"/>
        <v>0.74626865671641796</v>
      </c>
      <c r="J23" s="15">
        <f t="shared" si="6"/>
        <v>0.55223880597014929</v>
      </c>
      <c r="K23" s="15"/>
      <c r="L23" s="15"/>
      <c r="M23" s="15"/>
      <c r="N23" s="15"/>
      <c r="O23" s="15"/>
    </row>
    <row r="24" spans="2:15" x14ac:dyDescent="0.3">
      <c r="B24" s="20">
        <v>42917</v>
      </c>
      <c r="C24">
        <v>640</v>
      </c>
      <c r="D24" s="15">
        <f t="shared" ref="D24:I24" si="7">D9/$C24</f>
        <v>1</v>
      </c>
      <c r="E24" s="15">
        <f t="shared" si="7"/>
        <v>0.96875</v>
      </c>
      <c r="F24" s="15">
        <f t="shared" si="7"/>
        <v>0.90625</v>
      </c>
      <c r="G24" s="15">
        <f t="shared" si="7"/>
        <v>0.859375</v>
      </c>
      <c r="H24" s="15">
        <f t="shared" si="7"/>
        <v>0.796875</v>
      </c>
      <c r="I24" s="15">
        <f t="shared" si="7"/>
        <v>0.6875</v>
      </c>
      <c r="J24" s="15"/>
      <c r="K24" s="15"/>
      <c r="L24" s="15"/>
      <c r="M24" s="15"/>
      <c r="N24" s="15"/>
      <c r="O24" s="15"/>
    </row>
    <row r="25" spans="2:15" x14ac:dyDescent="0.3">
      <c r="B25" s="20">
        <v>42948</v>
      </c>
      <c r="C25">
        <v>700</v>
      </c>
      <c r="D25" s="15">
        <f>D10/$C25</f>
        <v>1</v>
      </c>
      <c r="E25" s="15">
        <f>E10/$C25</f>
        <v>0.95714285714285718</v>
      </c>
      <c r="F25" s="15">
        <f>F10/$C25</f>
        <v>0.90428571428571425</v>
      </c>
      <c r="G25" s="15">
        <f>G10/$C25</f>
        <v>0.85571428571428576</v>
      </c>
      <c r="H25" s="15">
        <f>H10/$C25</f>
        <v>0.7857142857142857</v>
      </c>
      <c r="I25" s="15"/>
      <c r="J25" s="15"/>
      <c r="K25" s="15"/>
      <c r="L25" s="15"/>
      <c r="M25" s="15"/>
      <c r="N25" s="15"/>
      <c r="O25" s="15"/>
    </row>
    <row r="26" spans="2:15" x14ac:dyDescent="0.3">
      <c r="B26" s="20">
        <v>42979</v>
      </c>
      <c r="C26">
        <v>720</v>
      </c>
      <c r="D26" s="15">
        <f>D11/$C26</f>
        <v>1</v>
      </c>
      <c r="E26" s="15">
        <f>E11/$C26</f>
        <v>0.97222222222222221</v>
      </c>
      <c r="F26" s="15">
        <f>F11/$C26</f>
        <v>0.91666666666666663</v>
      </c>
      <c r="G26" s="15">
        <f>G11/$C26</f>
        <v>0.81944444444444442</v>
      </c>
      <c r="H26" s="15"/>
      <c r="I26" s="15"/>
      <c r="J26" s="15"/>
      <c r="K26" s="15"/>
      <c r="L26" s="15"/>
      <c r="M26" s="15"/>
      <c r="N26" s="15"/>
      <c r="O26" s="15"/>
    </row>
    <row r="27" spans="2:15" x14ac:dyDescent="0.3">
      <c r="B27" s="20">
        <v>43009</v>
      </c>
      <c r="C27">
        <v>650</v>
      </c>
      <c r="D27" s="15">
        <f>D12/$C27</f>
        <v>1</v>
      </c>
      <c r="E27" s="15">
        <f>E12/$C27</f>
        <v>0.93846153846153846</v>
      </c>
      <c r="F27" s="15">
        <f>F12/$C27</f>
        <v>0.90769230769230769</v>
      </c>
      <c r="G27" s="15"/>
      <c r="H27" s="15"/>
      <c r="I27" s="15"/>
      <c r="J27" s="15"/>
      <c r="K27" s="15"/>
      <c r="L27" s="15"/>
      <c r="M27" s="15"/>
      <c r="N27" s="15"/>
      <c r="O27" s="15"/>
    </row>
    <row r="28" spans="2:15" x14ac:dyDescent="0.3">
      <c r="B28" s="20">
        <v>43040</v>
      </c>
      <c r="C28">
        <v>790</v>
      </c>
      <c r="D28" s="15">
        <f>D13/$C28</f>
        <v>1</v>
      </c>
      <c r="E28" s="15">
        <f>E13/$C28</f>
        <v>0.96202531645569622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2:15" x14ac:dyDescent="0.3">
      <c r="B29" s="20">
        <v>43070</v>
      </c>
      <c r="C29">
        <v>800</v>
      </c>
      <c r="D29" s="15">
        <f>D14/$C29</f>
        <v>1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2:15" x14ac:dyDescent="0.3">
      <c r="B30" s="17"/>
      <c r="C30" s="18">
        <f>SUM(_xlfn.ANCHORARRAY(C18))</f>
        <v>7880</v>
      </c>
      <c r="D30" s="19">
        <f>D15/$C15</f>
        <v>1</v>
      </c>
      <c r="E30" s="19">
        <f t="shared" ref="E30:O30" si="8">E15/$C15</f>
        <v>0.85647208121827412</v>
      </c>
      <c r="F30" s="19">
        <f t="shared" si="8"/>
        <v>0.71611675126903551</v>
      </c>
      <c r="G30" s="19">
        <f t="shared" si="8"/>
        <v>0.5963197969543147</v>
      </c>
      <c r="H30" s="19">
        <f t="shared" si="8"/>
        <v>0.4720812182741117</v>
      </c>
      <c r="I30" s="19">
        <f t="shared" si="8"/>
        <v>0.34517766497461927</v>
      </c>
      <c r="J30" s="19">
        <f t="shared" si="8"/>
        <v>0.21192893401015228</v>
      </c>
      <c r="K30" s="19">
        <f t="shared" si="8"/>
        <v>0.11294416243654823</v>
      </c>
      <c r="L30" s="19">
        <f t="shared" si="8"/>
        <v>5.0761421319796954E-2</v>
      </c>
      <c r="M30" s="19">
        <f t="shared" si="8"/>
        <v>2.5380710659898477E-2</v>
      </c>
      <c r="N30" s="19">
        <f t="shared" si="8"/>
        <v>8.8832487309644676E-3</v>
      </c>
      <c r="O30" s="19">
        <f t="shared" si="8"/>
        <v>1.2690355329949238E-3</v>
      </c>
    </row>
    <row r="32" spans="2:15" x14ac:dyDescent="0.3">
      <c r="D32">
        <f>SUM(D15:O15)*10</f>
        <v>346510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2987F1-3726-46AD-AD1F-BA85695E8D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q1</vt:lpstr>
      <vt:lpstr>q2_viz</vt:lpstr>
      <vt:lpstr>q2_clean</vt:lpstr>
      <vt:lpstr>q2_dau_mau</vt:lpstr>
      <vt:lpstr>q2</vt:lpstr>
      <vt:lpstr>q3</vt:lpstr>
      <vt:lpstr>ARPU</vt:lpstr>
      <vt:lpstr>CPA</vt:lpstr>
      <vt:lpstr>MAU</vt:lpstr>
      <vt:lpstr>new_user_percent</vt:lpstr>
      <vt:lpstr>new_users</vt:lpstr>
      <vt:lpstr>NUA_cost</vt:lpstr>
      <vt:lpstr>NUA_percent</vt:lpstr>
      <vt:lpstr>NUA_percent_cost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Johnson</dc:creator>
  <cp:lastModifiedBy>Mike Johnson</cp:lastModifiedBy>
  <dcterms:created xsi:type="dcterms:W3CDTF">2025-06-21T02:01:15Z</dcterms:created>
  <dcterms:modified xsi:type="dcterms:W3CDTF">2025-06-22T04:43:52Z</dcterms:modified>
</cp:coreProperties>
</file>